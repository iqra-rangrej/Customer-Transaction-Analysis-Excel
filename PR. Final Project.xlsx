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6ba34b1edc3bd11d/Desktop/Excel/Final Project/"/>
    </mc:Choice>
  </mc:AlternateContent>
  <xr:revisionPtr revIDLastSave="1830" documentId="11_42509B1511758BCE6E50C9FF4C5E59B311704E19" xr6:coauthVersionLast="47" xr6:coauthVersionMax="47" xr10:uidLastSave="{F67BF8D3-F95F-4E88-9A0D-C4EF4E0FE78F}"/>
  <bookViews>
    <workbookView xWindow="-108" yWindow="-108" windowWidth="23256" windowHeight="12456" firstSheet="1" activeTab="4" xr2:uid="{00000000-000D-0000-FFFF-FFFF00000000}"/>
  </bookViews>
  <sheets>
    <sheet name="Sheet1" sheetId="5" state="hidden" r:id="rId1"/>
    <sheet name="Raw Data" sheetId="2" r:id="rId2"/>
    <sheet name="Analysis" sheetId="4" r:id="rId3"/>
    <sheet name="Pivot Analysis" sheetId="6" r:id="rId4"/>
    <sheet name="Dashboard" sheetId="7" r:id="rId5"/>
  </sheets>
  <definedNames>
    <definedName name="Slicer_Category">#N/A</definedName>
    <definedName name="Slicer_Customer_Segment">#N/A</definedName>
    <definedName name="Slicer_Payment_Method">#N/A</definedName>
    <definedName name="Slicer_Region">#N/A</definedName>
  </definedNames>
  <calcPr calcId="191029" iterate="1" iterateCount="1"/>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 i="7" l="1"/>
  <c r="P7" i="7"/>
  <c r="K7" i="7"/>
  <c r="F7" i="7"/>
  <c r="A7" i="7"/>
  <c r="F35" i="4" a="1"/>
  <c r="F35" i="4" s="1"/>
  <c r="Q5" i="4" l="1"/>
  <c r="G27" i="4"/>
  <c r="G28" i="4"/>
  <c r="G26" i="4"/>
  <c r="N6" i="4"/>
  <c r="N7" i="4"/>
  <c r="N8" i="4"/>
  <c r="N9" i="4"/>
  <c r="N5" i="4"/>
  <c r="K5" i="4" a="1"/>
  <c r="K5" i="4" s="1"/>
  <c r="F13" i="4" a="1"/>
  <c r="F13" i="4" s="1"/>
  <c r="I13" i="4" s="1"/>
  <c r="E9" i="4"/>
  <c r="E8" i="4"/>
  <c r="E7" i="4"/>
  <c r="E6" i="4"/>
  <c r="E5" i="4"/>
  <c r="B5" i="4"/>
  <c r="A13" i="4" a="1"/>
  <c r="A13" i="4" s="1"/>
  <c r="B9" i="4"/>
  <c r="B8" i="4"/>
  <c r="B7" i="4"/>
  <c r="B6" i="4"/>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R11" i="4" l="1"/>
  <c r="R12" i="4"/>
  <c r="R13" i="4"/>
  <c r="Q7" i="4"/>
  <c r="G17" i="4"/>
  <c r="H19" i="4"/>
  <c r="B13" i="4" a="1"/>
  <c r="B13" i="4" s="1"/>
  <c r="G16" i="4"/>
  <c r="H18" i="4"/>
  <c r="I20" i="4"/>
  <c r="I21" i="4"/>
  <c r="C13" i="4" a="1"/>
  <c r="C13" i="4" s="1"/>
  <c r="D13" i="4" a="1"/>
  <c r="D13" i="4" s="1"/>
  <c r="G13" i="4"/>
  <c r="G15" i="4"/>
  <c r="H17" i="4"/>
  <c r="I19" i="4"/>
  <c r="G22" i="4"/>
  <c r="G14" i="4"/>
  <c r="H16" i="4"/>
  <c r="I18" i="4"/>
  <c r="G21" i="4"/>
  <c r="H13" i="4"/>
  <c r="H15" i="4"/>
  <c r="I17" i="4"/>
  <c r="G20" i="4"/>
  <c r="H22" i="4"/>
  <c r="H14" i="4"/>
  <c r="I16" i="4"/>
  <c r="G19" i="4"/>
  <c r="H21" i="4"/>
  <c r="I15" i="4"/>
  <c r="G18" i="4"/>
  <c r="H20" i="4"/>
  <c r="I22" i="4"/>
  <c r="I14" i="4"/>
  <c r="G5" i="4" l="1"/>
  <c r="G6" i="4"/>
  <c r="G7" i="4"/>
  <c r="G8" i="4"/>
  <c r="G9" i="4"/>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Iqra Rangrej</author>
  </authors>
  <commentList>
    <comment ref="Q7" authorId="0" shapeId="0" xr:uid="{94281990-DF16-4076-A0AE-B349F5A2642D}">
      <text>
        <r>
          <rPr>
            <sz val="8"/>
            <color indexed="81"/>
            <rFont val="Tahoma"/>
            <family val="2"/>
          </rPr>
          <t xml:space="preserve">Goal Seek finds the required </t>
        </r>
        <r>
          <rPr>
            <b/>
            <sz val="8"/>
            <color indexed="81"/>
            <rFont val="Tahoma"/>
            <family val="2"/>
          </rPr>
          <t>9.08%</t>
        </r>
        <r>
          <rPr>
            <sz val="8"/>
            <color indexed="81"/>
            <rFont val="Tahoma"/>
            <family val="2"/>
          </rPr>
          <t xml:space="preserve"> growth to achieve the target revenue of </t>
        </r>
        <r>
          <rPr>
            <b/>
            <sz val="8"/>
            <color indexed="81"/>
            <rFont val="Tahoma"/>
            <family val="2"/>
          </rPr>
          <t>₹2,50,000.</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<sst xmlns="http://schemas.openxmlformats.org/spreadsheetml/2006/main" count="2454" uniqueCount="492">
  <si>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</si>
  <si>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</si>
  <si>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</si>
  <si>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</si>
  <si>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</si>
  <si>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</si>
  <si>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</si>
  <si>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</si>
  <si>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</si>
  <si>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</si>
  <si>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</si>
  <si>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</si>
  <si>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</si>
  <si>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</si>
  <si>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</si>
  <si>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</si>
  <si>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</si>
  <si>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</si>
  <si>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</si>
  <si>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</si>
  <si>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</si>
  <si>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</si>
  <si>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</si>
  <si>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</si>
  <si>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</si>
  <si>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</si>
  <si>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</si>
  <si>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</si>
  <si>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</si>
  <si>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</si>
  <si>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</si>
  <si>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</si>
  <si>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</si>
  <si>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</si>
  <si>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</si>
  <si>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</si>
  <si>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</si>
  <si>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</si>
  <si>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</si>
  <si>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</si>
  <si>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</si>
  <si>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</si>
  <si>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</si>
  <si>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</si>
  <si>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</si>
  <si>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</si>
  <si>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</si>
  <si>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</si>
  <si>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</si>
  <si>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</si>
  <si>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</si>
  <si>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</si>
  <si>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</si>
  <si>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</si>
  <si>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</si>
  <si>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</si>
  <si>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</si>
  <si>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</si>
  <si>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</si>
  <si>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</si>
  <si>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</si>
  <si>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</si>
  <si>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</si>
  <si>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</si>
  <si>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</si>
  <si>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</si>
  <si>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</si>
  <si>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</si>
  <si>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</si>
  <si>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</si>
  <si>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</si>
  <si>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</si>
  <si>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</si>
  <si>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</si>
  <si>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</si>
  <si>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</si>
  <si>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</si>
  <si>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</si>
  <si>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</si>
  <si>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</si>
  <si>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</si>
  <si>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</si>
  <si>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</si>
  <si>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</si>
  <si>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</si>
  <si>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</si>
  <si>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</si>
  <si>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</si>
  <si>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</si>
  <si>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</si>
  <si>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</si>
  <si>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</si>
  <si>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</si>
  <si>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</si>
  <si>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</si>
  <si>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</si>
  <si>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</si>
  <si>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</si>
  <si>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</si>
  <si>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</si>
  <si>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</si>
  <si>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</si>
  <si>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</si>
  <si>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</si>
  <si>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</si>
  <si>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</si>
  <si>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</si>
  <si>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</si>
  <si>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</si>
  <si>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</si>
  <si>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</si>
  <si>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</si>
  <si>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</si>
  <si>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</si>
  <si>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</si>
  <si>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</si>
  <si>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</si>
  <si>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</si>
  <si>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</si>
  <si>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</si>
  <si>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</si>
  <si>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</si>
  <si>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</si>
  <si>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</si>
  <si>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</si>
  <si>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</si>
  <si>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</si>
  <si>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</si>
  <si>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</si>
  <si>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</si>
  <si>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</si>
  <si>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</si>
  <si>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</si>
  <si>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</si>
  <si>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</si>
  <si>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</si>
  <si>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</si>
  <si>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</si>
  <si>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</si>
  <si>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</si>
  <si>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</si>
  <si>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</si>
  <si>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</si>
  <si>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</si>
  <si>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</si>
  <si>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</si>
  <si>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</si>
  <si>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</si>
  <si>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</si>
  <si>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</si>
  <si>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</si>
  <si>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</si>
  <si>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</si>
  <si>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</si>
  <si>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</si>
  <si>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</si>
  <si>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</si>
  <si>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</si>
  <si>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</si>
  <si>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</si>
  <si>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</si>
  <si>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</si>
  <si>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</si>
  <si>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</si>
  <si>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</si>
  <si>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</si>
  <si>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</si>
  <si>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</si>
  <si>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</si>
  <si>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</si>
  <si>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</si>
  <si>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</si>
  <si>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</si>
  <si>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</si>
  <si>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</si>
  <si>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</si>
  <si>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</si>
  <si>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</si>
  <si>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</si>
  <si>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</si>
  <si>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</si>
  <si>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</si>
  <si>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</si>
  <si>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</si>
  <si>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</si>
  <si>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</si>
  <si>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</si>
  <si>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</si>
  <si>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</si>
  <si>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</si>
  <si>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</si>
  <si>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</si>
  <si>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</si>
  <si>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</si>
  <si>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</si>
  <si>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</si>
  <si>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</si>
  <si>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</si>
  <si>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</si>
  <si>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</si>
  <si>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</si>
  <si>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</si>
  <si>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</si>
  <si>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</si>
  <si>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</si>
  <si>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</si>
  <si>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</si>
  <si>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</si>
  <si>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</si>
  <si>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</si>
  <si>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</si>
  <si>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</si>
  <si>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</si>
  <si>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</si>
  <si>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</si>
  <si>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</si>
  <si>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</si>
  <si>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</si>
  <si>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</si>
  <si>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</si>
  <si>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</si>
  <si>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</si>
  <si>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</si>
  <si>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</si>
  <si>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</si>
  <si>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</si>
  <si>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</si>
  <si>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</si>
  <si>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</si>
  <si>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</si>
  <si>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</si>
  <si>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</si>
  <si>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</si>
  <si>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</si>
  <si>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</si>
  <si>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</si>
  <si>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</si>
  <si>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</si>
  <si>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</si>
  <si>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</si>
  <si>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</si>
  <si>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</si>
  <si>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</si>
  <si>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</si>
  <si>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</si>
  <si>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</si>
  <si>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</si>
  <si>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</si>
  <si>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</si>
  <si>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</si>
  <si>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</si>
  <si>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</si>
  <si>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</si>
  <si>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</si>
  <si>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</si>
  <si>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</si>
  <si>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</si>
  <si>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</si>
  <si>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</si>
  <si>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</si>
  <si>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</si>
  <si>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</si>
  <si>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</si>
  <si>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</si>
  <si>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</si>
  <si>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</si>
  <si>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</si>
  <si>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</si>
  <si>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</si>
  <si>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</si>
  <si>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</si>
  <si>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</si>
  <si>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</si>
  <si>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</si>
  <si>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</si>
  <si>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</si>
  <si>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</si>
  <si>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</si>
  <si>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</si>
  <si>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</si>
  <si>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</si>
  <si>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</si>
  <si>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</si>
  <si>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</si>
  <si>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</si>
  <si>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</si>
  <si>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</si>
  <si>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</si>
  <si>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</si>
  <si>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</si>
  <si>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</si>
  <si>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</si>
  <si>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</si>
  <si>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</si>
  <si>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</si>
  <si>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</si>
  <si>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</si>
  <si>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</si>
  <si>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</si>
  <si>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</si>
  <si>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</si>
  <si>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</si>
  <si>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</si>
  <si>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</si>
  <si>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</si>
  <si>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</si>
  <si>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</si>
  <si>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</si>
  <si>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</si>
  <si>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</si>
  <si>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</si>
  <si>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</si>
  <si>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</si>
  <si>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</si>
  <si>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</si>
  <si>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</si>
  <si>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</si>
  <si>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</si>
  <si>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</si>
  <si>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</si>
  <si>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</si>
  <si>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</si>
  <si>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</si>
  <si>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</si>
  <si>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</si>
  <si>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</si>
  <si>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</si>
  <si>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</si>
  <si>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</si>
  <si>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</si>
  <si>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</si>
  <si>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</si>
  <si>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</si>
  <si>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</si>
  <si>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</si>
  <si>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</si>
  <si>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</si>
  <si>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</si>
  <si>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</si>
  <si>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</si>
  <si>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</si>
  <si>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</si>
  <si>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</si>
  <si>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</si>
  <si>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</si>
  <si>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</si>
  <si>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</si>
  <si>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</si>
  <si>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</si>
  <si>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</si>
  <si>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</si>
  <si>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</si>
  <si>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</si>
  <si>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</si>
  <si>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</si>
  <si>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</si>
  <si>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</si>
  <si>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</si>
  <si>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</si>
  <si>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</si>
  <si>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</si>
  <si>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</si>
  <si>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</si>
  <si>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</si>
  <si>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</si>
  <si>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</si>
  <si>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</si>
  <si>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</si>
  <si>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</si>
  <si>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</si>
  <si>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</si>
  <si>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</si>
  <si>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</si>
  <si>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</si>
  <si>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</si>
  <si>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</si>
  <si>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</si>
  <si>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</si>
  <si>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</si>
  <si>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</si>
  <si>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</si>
  <si>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</si>
  <si>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</si>
  <si>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</si>
  <si>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</si>
  <si>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</si>
  <si>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</si>
  <si>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</si>
  <si>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</si>
  <si>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</si>
  <si>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</si>
  <si>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</si>
  <si>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</si>
  <si>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</si>
  <si>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</si>
  <si>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</si>
  <si>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</si>
  <si>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</si>
  <si>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</si>
  <si>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Timestamp</t>
  </si>
  <si>
    <t>Today's Date</t>
  </si>
  <si>
    <t>Customer Tenure</t>
  </si>
  <si>
    <t>Month End</t>
  </si>
  <si>
    <t>Month</t>
  </si>
  <si>
    <t>Product Frequency</t>
  </si>
  <si>
    <t>Customer Frequency</t>
  </si>
  <si>
    <t>Customer Abbreviation</t>
  </si>
  <si>
    <t>📊 PR. Final Project — Customer Transaction Raw Data</t>
  </si>
  <si>
    <t>📊 Data Intelligence Analysis</t>
  </si>
  <si>
    <t>📊 KEY PERFORMANCE INDICATORS</t>
  </si>
  <si>
    <t>KPI</t>
  </si>
  <si>
    <t>Value</t>
  </si>
  <si>
    <t>Total Revenue</t>
  </si>
  <si>
    <t>Total Transactions</t>
  </si>
  <si>
    <t>Total Units Sold</t>
  </si>
  <si>
    <t>Total Customers</t>
  </si>
  <si>
    <t>Average Order Value</t>
  </si>
  <si>
    <t>👑 HIGH-VALUE CUSTOMER ANALYSIS</t>
  </si>
  <si>
    <t>Customer ID</t>
  </si>
  <si>
    <t>Customer Name</t>
  </si>
  <si>
    <t>Transactions</t>
  </si>
  <si>
    <t>🎯 KPI TARGETS</t>
  </si>
  <si>
    <t>Actual</t>
  </si>
  <si>
    <t>Target</t>
  </si>
  <si>
    <t>Status</t>
  </si>
  <si>
    <t>Revenue</t>
  </si>
  <si>
    <t>📦 PRODUCT ANALYSIS</t>
  </si>
  <si>
    <t>Product</t>
  </si>
  <si>
    <t>Units Sold</t>
  </si>
  <si>
    <t>📋 LIST COMPARISON</t>
  </si>
  <si>
    <t>Customer List 1</t>
  </si>
  <si>
    <t>Customer List 2</t>
  </si>
  <si>
    <t>Matching Name</t>
  </si>
  <si>
    <t>Sarah Wilson</t>
  </si>
  <si>
    <t>🌍 REGIONAL SALES ANALYSIS</t>
  </si>
  <si>
    <t>👥 CUSTOMER SEGMENT ANALYSIS</t>
  </si>
  <si>
    <t>Segment</t>
  </si>
  <si>
    <t>🎯 WHAT-IF ANALYSIS</t>
  </si>
  <si>
    <t>Item</t>
  </si>
  <si>
    <t>Current Revenue</t>
  </si>
  <si>
    <t>Growth %</t>
  </si>
  <si>
    <t>Projected Revenue</t>
  </si>
  <si>
    <t>🎯 Scenario Manager</t>
  </si>
  <si>
    <t>Scenario</t>
  </si>
  <si>
    <t>Growth%</t>
  </si>
  <si>
    <t>Base</t>
  </si>
  <si>
    <t>Growth 10%</t>
  </si>
  <si>
    <t>Growth 20%</t>
  </si>
  <si>
    <t xml:space="preserve">📈 LINEAR REGRESSION </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</si>
  <si>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</si>
  <si>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</si>
  <si>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</si>
  <si>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</si>
  <si>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</si>
  <si>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</si>
  <si>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</si>
  <si>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</si>
  <si>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</si>
  <si>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</si>
  <si>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</si>
  <si>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</si>
  <si>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</si>
  <si>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</si>
  <si>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</si>
  <si>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</si>
  <si>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</si>
  <si>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</si>
  <si>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</si>
  <si>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</si>
  <si>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</si>
  <si>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</si>
  <si>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</si>
  <si>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</si>
  <si>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FILTER — PREMIUM CUSTOMERS (Multi-Value Returns)  </t>
  </si>
  <si>
    <t>Customer Segment</t>
  </si>
  <si>
    <t>📊 PIVOT ANALYSIS</t>
  </si>
  <si>
    <t>Sum of Total_Amount</t>
  </si>
  <si>
    <t>Grand Total</t>
  </si>
  <si>
    <t>Sum of Quantity</t>
  </si>
  <si>
    <t>📦 PRODUCT PERFORMANCE</t>
  </si>
  <si>
    <t>Product Name</t>
  </si>
  <si>
    <t>Count of Transaction_ID</t>
  </si>
  <si>
    <t>💳 PAYMENT METHOD ANALYSIS</t>
  </si>
  <si>
    <t>Payment Method</t>
  </si>
  <si>
    <t>📊 Customer Transaction Dashboard</t>
  </si>
  <si>
    <t>💰 Total Revenue</t>
  </si>
  <si>
    <t>🧾 Total Transactions</t>
  </si>
  <si>
    <t>📦 Total Units Sold</t>
  </si>
  <si>
    <t>👥 Total Customers</t>
  </si>
  <si>
    <t>💵 Average Order Value</t>
  </si>
  <si>
    <t xml:space="preserve">  🎛️ FILTER &amp; SLICERS</t>
  </si>
  <si>
    <t>💡 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</si>
</sst>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h:mm:ss"/>
    <numFmt numFmtId="165" formatCode="[$-F800]dddd\,\ mmmm\ dd\,\ yyyy"/>
    <numFmt numFmtId="166" formatCode="&quot;₹&quot;\ #,##0.00"/>
    <numFmt numFmtId="167" formatCode="&quot;₹&quot;\ #,##0"/>
    <numFmt numFmtId="168" formatCode="0.0000"/>
  </numFmts>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22"/>
      <color theme="2"/>
      <name val="Calibri"/>
      <family val="2"/>
      <scheme val="minor"/>
    </font>
    <font>
      <b/>
      <sz val="12"/>
      <color theme="0"/>
      <name val="Calibri"/>
      <family val="2"/>
      <scheme val="minor"/>
    </font>
    <font>
      <b/>
      <sz val="24"/>
      <color theme="0"/>
      <name val="Calibri"/>
      <family val="2"/>
      <scheme val="minor"/>
    </font>
    <font>
      <b/>
      <sz val="11"/>
      <color theme="0"/>
      <name val="Calibri"/>
      <family val="2"/>
      <scheme val="minor"/>
    </font>
    <font>
      <b/>
      <sz val="11"/>
      <color theme="2"/>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9"/>
      <color indexed="81"/>
      <name val="Tahoma"/>
      <family val="2"/>
    </font>
    <font>
      <sz val="8"/>
      <color indexed="81"/>
      <name val="Tahoma"/>
      <family val="2"/>
    </font>
    <font>
      <i/>
      <sz val="11"/>
      <color theme="1"/>
      <name val="Calibri"/>
      <family val="2"/>
      <scheme val="minor"/>
    </font>
    <font>
      <b/>
      <sz val="12"/>
      <color theme="2"/>
      <name val="Calibri"/>
      <family val="2"/>
      <scheme val="minor"/>
    </font>
    <font>
      <b/>
      <i/>
      <sz val="11"/>
      <color theme="1"/>
      <name val="Calibri"/>
      <family val="2"/>
      <scheme val="minor"/>
    </font>
    <font>
      <b/>
      <sz val="16"/>
      <color theme="1"/>
      <name val="Calibri"/>
      <family val="2"/>
      <scheme val="minor"/>
    </font>
    <font>
      <b/>
      <sz val="10"/>
      <color theme="0"/>
      <name val="Calibri"/>
      <family val="2"/>
      <scheme val="minor"/>
    </font>
    <font>
      <b/>
      <sz val="8"/>
      <color indexed="81"/>
      <name val="Tahoma"/>
      <family val="2"/>
    </font>
    <font>
      <b/>
      <sz val="26"/>
      <color theme="0"/>
      <name val="Calibri"/>
      <family val="2"/>
      <scheme val="minor"/>
    </font>
    <font>
      <sz val="20"/>
      <color theme="0"/>
      <name val="Calibri"/>
      <family val="2"/>
      <scheme val="minor"/>
    </font>
    <font>
      <b/>
      <sz val="13"/>
      <color theme="0"/>
      <name val="Calibri"/>
      <family val="2"/>
      <scheme val="minor"/>
    </font>
  </fonts>
  <fills count="8">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7FF398"/>
        <bgColor indexed="64"/>
      </patternFill>
    </fill>
    <fill>
      <patternFill patternType="solid">
        <fgColor theme="7"/>
        <bgColor theme="7"/>
      </patternFill>
    </fill>
    <fill>
      <patternFill patternType="solid">
        <fgColor theme="7"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93">
    <xf numFmtId="0" fontId="0" fillId="0" borderId="0" xfId="0"/>
    <xf numFmtId="0" fontId="4" fillId="0" borderId="0" xfId="0" applyFont="1"/>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7" fillId="0" borderId="0" xfId="0" applyFont="1" applyAlignment="1">
      <alignment horizontal="center" vertical="center" wrapText="1"/>
    </xf>
    <xf numFmtId="0" fontId="10" fillId="2" borderId="1" xfId="0" applyFont="1" applyFill="1" applyBorder="1" applyAlignment="1">
      <alignment horizontal="center" vertical="center"/>
    </xf>
    <xf numFmtId="0" fontId="12" fillId="4" borderId="1" xfId="0" applyFont="1" applyFill="1" applyBorder="1"/>
    <xf numFmtId="166" fontId="0" fillId="0" borderId="1" xfId="0" applyNumberFormat="1" applyBorder="1" applyAlignment="1">
      <alignment horizontal="center" vertical="center"/>
    </xf>
    <xf numFmtId="0" fontId="0" fillId="0" borderId="1" xfId="0" applyBorder="1" applyAlignment="1">
      <alignment horizontal="center" vertical="center"/>
    </xf>
    <xf numFmtId="166" fontId="13" fillId="0" borderId="1" xfId="0" applyNumberFormat="1" applyFont="1" applyBorder="1" applyAlignment="1">
      <alignment horizontal="center"/>
    </xf>
    <xf numFmtId="0" fontId="13" fillId="0" borderId="1" xfId="0" applyFont="1" applyBorder="1" applyAlignment="1">
      <alignment horizontal="center"/>
    </xf>
    <xf numFmtId="0" fontId="9" fillId="2"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166" fontId="13" fillId="0" borderId="1" xfId="0" applyNumberFormat="1" applyFont="1" applyBorder="1" applyAlignment="1">
      <alignment horizontal="center" vertical="center"/>
    </xf>
    <xf numFmtId="167" fontId="0" fillId="0" borderId="1" xfId="0" applyNumberFormat="1" applyBorder="1" applyAlignment="1">
      <alignment horizontal="center" vertical="center"/>
    </xf>
    <xf numFmtId="0" fontId="12"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vertical="center"/>
    </xf>
    <xf numFmtId="0" fontId="13" fillId="0" borderId="1" xfId="0" applyFont="1" applyBorder="1"/>
    <xf numFmtId="166" fontId="13" fillId="0" borderId="1" xfId="0" applyNumberFormat="1" applyFont="1" applyBorder="1"/>
    <xf numFmtId="0" fontId="2" fillId="0" borderId="1" xfId="0" applyFont="1" applyBorder="1" applyAlignment="1">
      <alignment vertical="center" wrapText="1"/>
    </xf>
    <xf numFmtId="0" fontId="0" fillId="0" borderId="1" xfId="0" applyBorder="1" applyAlignment="1">
      <alignment vertical="center"/>
    </xf>
    <xf numFmtId="0" fontId="0" fillId="5" borderId="1" xfId="0" applyFill="1" applyBorder="1" applyAlignment="1">
      <alignment vertical="center"/>
    </xf>
    <xf numFmtId="0" fontId="10" fillId="2" borderId="5" xfId="0" applyFont="1" applyFill="1" applyBorder="1" applyAlignment="1">
      <alignment horizontal="center" vertical="center"/>
    </xf>
    <xf numFmtId="9" fontId="0" fillId="0" borderId="1" xfId="0" applyNumberFormat="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lignment horizontal="left" vertical="center"/>
    </xf>
    <xf numFmtId="0" fontId="10" fillId="2" borderId="2" xfId="0" applyFont="1" applyFill="1" applyBorder="1" applyAlignment="1">
      <alignment horizontal="center" vertical="center"/>
    </xf>
    <xf numFmtId="166" fontId="0" fillId="0" borderId="2" xfId="0" applyNumberFormat="1" applyBorder="1" applyAlignment="1">
      <alignment horizontal="center" vertical="center"/>
    </xf>
    <xf numFmtId="10" fontId="0" fillId="0" borderId="2" xfId="0" applyNumberFormat="1" applyBorder="1" applyAlignment="1">
      <alignment horizontal="center" vertical="center"/>
    </xf>
    <xf numFmtId="0" fontId="0" fillId="0" borderId="5" xfId="0" applyBorder="1"/>
    <xf numFmtId="0" fontId="0" fillId="0" borderId="8" xfId="0" applyBorder="1"/>
    <xf numFmtId="0" fontId="0" fillId="0" borderId="10" xfId="0" applyBorder="1"/>
    <xf numFmtId="0" fontId="16" fillId="0" borderId="11" xfId="0" applyFont="1" applyBorder="1" applyAlignment="1">
      <alignment horizontal="center"/>
    </xf>
    <xf numFmtId="0" fontId="16" fillId="0" borderId="11" xfId="0" applyFont="1" applyBorder="1" applyAlignment="1">
      <alignment horizontal="centerContinuous"/>
    </xf>
    <xf numFmtId="0" fontId="0" fillId="0" borderId="1" xfId="0" applyBorder="1"/>
    <xf numFmtId="0" fontId="16" fillId="3" borderId="1" xfId="0" applyFont="1" applyFill="1" applyBorder="1" applyAlignment="1">
      <alignment horizontal="center"/>
    </xf>
    <xf numFmtId="0" fontId="18" fillId="3" borderId="1" xfId="0" applyFont="1" applyFill="1" applyBorder="1" applyAlignment="1">
      <alignment horizontal="center"/>
    </xf>
    <xf numFmtId="0" fontId="0" fillId="0" borderId="6" xfId="0" applyBorder="1"/>
    <xf numFmtId="0" fontId="0" fillId="0" borderId="7" xfId="0" applyBorder="1"/>
    <xf numFmtId="0" fontId="0" fillId="0" borderId="9" xfId="0" applyBorder="1"/>
    <xf numFmtId="0" fontId="20" fillId="6" borderId="1" xfId="0" applyFont="1" applyFill="1" applyBorder="1" applyAlignment="1">
      <alignment horizontal="center" vertical="center" wrapText="1"/>
    </xf>
    <xf numFmtId="0" fontId="20" fillId="2" borderId="1" xfId="0" applyFont="1" applyFill="1" applyBorder="1" applyAlignment="1">
      <alignment horizontal="center" vertical="center"/>
    </xf>
    <xf numFmtId="2" fontId="0" fillId="0" borderId="1" xfId="0" applyNumberFormat="1" applyBorder="1" applyAlignment="1">
      <alignment horizontal="center" vertical="center"/>
    </xf>
    <xf numFmtId="168"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left"/>
    </xf>
    <xf numFmtId="0" fontId="0" fillId="3" borderId="1" xfId="0" applyFill="1" applyBorder="1" applyAlignment="1">
      <alignment horizontal="center" vertical="center"/>
    </xf>
    <xf numFmtId="166" fontId="0" fillId="3" borderId="1" xfId="0" applyNumberFormat="1" applyFill="1" applyBorder="1" applyAlignment="1">
      <alignment horizontal="center" vertical="center"/>
    </xf>
    <xf numFmtId="0" fontId="7" fillId="2" borderId="1" xfId="0" applyFont="1" applyFill="1" applyBorder="1" applyAlignment="1">
      <alignment horizontal="center" vertical="center"/>
    </xf>
    <xf numFmtId="0" fontId="22" fillId="2" borderId="0" xfId="0" applyFont="1" applyFill="1" applyAlignment="1">
      <alignment horizontal="center" vertical="center"/>
    </xf>
    <xf numFmtId="0" fontId="6" fillId="2" borderId="1" xfId="0" applyFont="1" applyFill="1" applyBorder="1" applyAlignment="1">
      <alignment horizontal="center" vertical="center"/>
    </xf>
    <xf numFmtId="0" fontId="11" fillId="4" borderId="1" xfId="0" applyFont="1" applyFill="1" applyBorder="1" applyAlignment="1">
      <alignment horizontal="center" vertical="center"/>
    </xf>
    <xf numFmtId="0" fontId="8" fillId="2" borderId="0" xfId="0" applyFont="1" applyFill="1" applyAlignment="1">
      <alignment horizontal="center"/>
    </xf>
    <xf numFmtId="0" fontId="19" fillId="4" borderId="2"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17" fillId="2" borderId="2" xfId="0" applyFont="1" applyFill="1" applyBorder="1" applyAlignment="1">
      <alignment horizontal="left" vertical="center"/>
    </xf>
    <xf numFmtId="0" fontId="17" fillId="2" borderId="3" xfId="0" applyFont="1" applyFill="1" applyBorder="1" applyAlignment="1">
      <alignment horizontal="left" vertical="center"/>
    </xf>
    <xf numFmtId="0" fontId="17" fillId="2" borderId="4" xfId="0" applyFont="1" applyFill="1" applyBorder="1" applyAlignment="1">
      <alignment horizontal="left" vertical="center"/>
    </xf>
    <xf numFmtId="0" fontId="11" fillId="3" borderId="1"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4" xfId="0" applyFont="1" applyFill="1" applyBorder="1" applyAlignment="1">
      <alignment horizontal="center" vertical="center"/>
    </xf>
    <xf numFmtId="0" fontId="0" fillId="0" borderId="1" xfId="0" applyNumberFormat="1" applyBorder="1" applyAlignment="1">
      <alignment horizontal="center" vertical="center"/>
    </xf>
    <xf numFmtId="0" fontId="0" fillId="3" borderId="1" xfId="0" applyNumberFormat="1" applyFill="1" applyBorder="1" applyAlignment="1">
      <alignment horizontal="center" vertical="center"/>
    </xf>
    <xf numFmtId="0" fontId="4" fillId="3" borderId="1" xfId="0" applyNumberFormat="1" applyFont="1" applyFill="1" applyBorder="1" applyAlignment="1">
      <alignment horizontal="center" vertical="center"/>
    </xf>
    <xf numFmtId="0" fontId="0" fillId="0" borderId="0" xfId="0" applyAlignment="1">
      <alignment horizontal="center" vertical="center"/>
    </xf>
    <xf numFmtId="0" fontId="23" fillId="2" borderId="0" xfId="0" applyFont="1" applyFill="1" applyAlignment="1">
      <alignment horizontal="center" vertical="top"/>
    </xf>
    <xf numFmtId="0" fontId="8" fillId="2" borderId="0" xfId="0" applyFont="1" applyFill="1" applyAlignment="1">
      <alignment horizontal="center" vertical="top"/>
    </xf>
    <xf numFmtId="0" fontId="0" fillId="0" borderId="0" xfId="0" applyAlignment="1"/>
    <xf numFmtId="0" fontId="0" fillId="0" borderId="0" xfId="0" applyAlignment="1">
      <alignment vertical="top"/>
    </xf>
    <xf numFmtId="0" fontId="19" fillId="3" borderId="15" xfId="0" applyFont="1" applyFill="1" applyBorder="1" applyAlignment="1">
      <alignment horizontal="center" vertical="center"/>
    </xf>
    <xf numFmtId="0" fontId="19" fillId="3" borderId="16" xfId="0" applyFont="1" applyFill="1" applyBorder="1" applyAlignment="1">
      <alignment horizontal="center" vertical="center"/>
    </xf>
    <xf numFmtId="0" fontId="19" fillId="3" borderId="17" xfId="0" applyFont="1" applyFill="1" applyBorder="1" applyAlignment="1">
      <alignment horizontal="center" vertical="center"/>
    </xf>
    <xf numFmtId="166" fontId="19" fillId="3" borderId="12" xfId="0" applyNumberFormat="1" applyFont="1" applyFill="1" applyBorder="1" applyAlignment="1">
      <alignment horizontal="center" vertical="center"/>
    </xf>
    <xf numFmtId="166" fontId="19" fillId="3" borderId="13" xfId="0" applyNumberFormat="1" applyFont="1" applyFill="1" applyBorder="1" applyAlignment="1">
      <alignment horizontal="center" vertical="center"/>
    </xf>
    <xf numFmtId="166" fontId="19" fillId="3" borderId="14" xfId="0" applyNumberFormat="1" applyFont="1" applyFill="1" applyBorder="1" applyAlignment="1">
      <alignment horizontal="center" vertical="center"/>
    </xf>
    <xf numFmtId="1" fontId="19" fillId="3" borderId="12" xfId="0" applyNumberFormat="1" applyFont="1" applyFill="1" applyBorder="1" applyAlignment="1">
      <alignment horizontal="center" vertical="center"/>
    </xf>
    <xf numFmtId="1" fontId="19" fillId="3" borderId="13" xfId="0" applyNumberFormat="1" applyFont="1" applyFill="1" applyBorder="1" applyAlignment="1">
      <alignment horizontal="center" vertical="center"/>
    </xf>
    <xf numFmtId="1" fontId="19" fillId="3" borderId="14" xfId="0" applyNumberFormat="1" applyFont="1" applyFill="1" applyBorder="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24" fillId="7" borderId="0" xfId="0" applyFont="1" applyFill="1" applyAlignment="1">
      <alignment horizontal="left" vertical="top"/>
    </xf>
  </cellXfs>
  <cellStyles count="1">
    <cellStyle name="Normal" xfId="0" builtinId="0"/>
  </cellStyles>
  <dxfs count="700">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numFmt numFmtId="0" formatCode="General"/>
      <fill>
        <patternFill patternType="solid">
          <fgColor indexed="64"/>
          <bgColor theme="7" tint="0.59999389629810485"/>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font>
        <b/>
        <family val="2"/>
      </font>
    </dxf>
    <dxf>
      <font>
        <b/>
        <family val="2"/>
      </font>
      <fill>
        <patternFill patternType="solid">
          <fgColor indexed="64"/>
          <bgColor theme="7" tint="0.59999389629810485"/>
        </patternFill>
      </fill>
      <alignment horizontal="center" vertic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fill>
        <patternFill patternType="solid">
          <fgColor indexed="64"/>
          <bgColor theme="7" tint="0.59999389629810485"/>
        </patternFill>
      </fill>
      <alignment horizontal="center" vertical="center"/>
    </dxf>
    <dxf>
      <alignment horizontal="center"/>
    </dxf>
    <dxf>
      <alignment vertical="center"/>
    </dxf>
    <dxf>
      <fill>
        <patternFill patternType="solid">
          <fgColor indexed="64"/>
          <bgColor theme="7" tint="0.59999389629810485"/>
        </patternFill>
      </fill>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249977111117893"/>
        </patternFill>
      </fill>
    </dxf>
    <dxf>
      <fill>
        <patternFill patternType="solid">
          <bgColor theme="7" tint="-0.249977111117893"/>
        </patternFill>
      </fill>
    </dxf>
    <dxf>
      <fill>
        <patternFill>
          <bgColor theme="7" tint="0.59999389629810485"/>
        </patternFill>
      </fill>
    </dxf>
    <dxf>
      <fill>
        <patternFill>
          <bgColor theme="7" tint="0.59999389629810485"/>
        </patternFill>
      </fill>
    </dxf>
    <dxf>
      <alignment vertical="center"/>
    </dxf>
    <dxf>
      <alignment vertical="center"/>
    </dxf>
    <dxf>
      <alignment horizontal="center"/>
    </dxf>
    <dxf>
      <alignment horizontal="center"/>
    </dxf>
    <dxf>
      <alignment horizontal="center"/>
    </dxf>
    <dxf>
      <alignment vertical="center"/>
    </dxf>
    <dxf>
      <fill>
        <patternFill patternType="solid">
          <bgColor theme="7" tint="0.59999389629810485"/>
        </patternFill>
      </fill>
    </dxf>
    <dxf>
      <fill>
        <patternFill patternType="solid">
          <bgColor theme="7" tint="0.59999389629810485"/>
        </patternFill>
      </fill>
    </dxf>
    <dxf>
      <alignment vertical="center"/>
    </dxf>
    <dxf>
      <alignment vertical="center"/>
    </dxf>
    <dxf>
      <alignment horizontal="center"/>
    </dxf>
    <dxf>
      <alignment horizontal="center"/>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5"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dd/mm/yyyy\ hh:mm:ss"/>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6"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6"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A81E6A"/>
      <color rgb="FF7FF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Analysis!PivotTable3</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tx1">
              <a:lumMod val="95000"/>
              <a:lumOff val="5000"/>
            </a:schemeClr>
          </a:solidFill>
          <a:ln>
            <a:noFill/>
          </a:ln>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4">
              <a:lumMod val="75000"/>
            </a:schemeClr>
          </a:solidFill>
          <a:ln>
            <a:noFill/>
          </a:ln>
        </c:spPr>
        <c:marker>
          <c:symbol val="none"/>
        </c:marker>
        <c:dLbl>
          <c:idx val="0"/>
          <c:delete val="1"/>
          <c:extLst>
            <c:ext xmlns:c15="http://schemas.microsoft.com/office/drawing/2012/chart" uri="{CE6537A1-D6FC-4f65-9D91-7224C49458BB}"/>
          </c:extLst>
        </c:dLbl>
      </c:pivotFmt>
      <c:pivotFmt>
        <c:idx val="46"/>
        <c:spPr>
          <a:solidFill>
            <a:schemeClr val="accent4">
              <a:lumMod val="40000"/>
              <a:lumOff val="60000"/>
            </a:schemeClr>
          </a:solidFill>
          <a:ln>
            <a:noFill/>
          </a:ln>
          <a:effectLst/>
        </c:spPr>
        <c:dLbl>
          <c:idx val="0"/>
          <c:layout>
            <c:manualLayout>
              <c:x val="0.11375386532481679"/>
              <c:y val="-0.1318108359671464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3919085335027"/>
                  <c:h val="0.15270971379131293"/>
                </c:manualLayout>
              </c15:layout>
            </c:ext>
          </c:extLst>
        </c:dLbl>
      </c:pivotFmt>
      <c:pivotFmt>
        <c:idx val="47"/>
        <c:spPr>
          <a:solidFill>
            <a:schemeClr val="accent4">
              <a:lumMod val="75000"/>
            </a:schemeClr>
          </a:solidFill>
          <a:ln>
            <a:noFill/>
          </a:ln>
          <a:effectLst/>
        </c:spPr>
        <c:dLbl>
          <c:idx val="0"/>
          <c:layout>
            <c:manualLayout>
              <c:x val="0.24949421622220527"/>
              <c:y val="4.88890453232445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77603930363093"/>
                  <c:h val="0.17945397189837303"/>
                </c:manualLayout>
              </c15:layout>
            </c:ext>
          </c:extLst>
        </c:dLbl>
      </c:pivotFmt>
      <c:pivotFmt>
        <c:idx val="48"/>
        <c:spPr>
          <a:solidFill>
            <a:srgbClr val="A81E6A"/>
          </a:solidFill>
          <a:ln>
            <a:noFill/>
          </a:ln>
          <a:effectLst/>
        </c:spPr>
        <c:dLbl>
          <c:idx val="0"/>
          <c:layout>
            <c:manualLayout>
              <c:x val="-0.1046643864427884"/>
              <c:y val="-0.15664494034135185"/>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25116990524089"/>
                  <c:h val="0.18327458019938161"/>
                </c:manualLayout>
              </c15:layout>
            </c:ext>
          </c:extLst>
        </c:dLbl>
      </c:pivotFmt>
      <c:pivotFmt>
        <c:idx val="49"/>
        <c:spPr>
          <a:solidFill>
            <a:schemeClr val="accent4">
              <a:lumMod val="75000"/>
            </a:schemeClr>
          </a:solidFill>
          <a:ln>
            <a:noFill/>
          </a:ln>
          <a:effectLst/>
        </c:spPr>
      </c:pivotFmt>
      <c:pivotFmt>
        <c:idx val="50"/>
        <c:spPr>
          <a:solidFill>
            <a:schemeClr val="accent4">
              <a:lumMod val="40000"/>
              <a:lumOff val="60000"/>
            </a:schemeClr>
          </a:solidFill>
          <a:ln>
            <a:noFill/>
          </a:ln>
          <a:effectLst/>
        </c:spPr>
      </c:pivotFmt>
      <c:pivotFmt>
        <c:idx val="51"/>
        <c:spPr>
          <a:solidFill>
            <a:srgbClr val="A81E6A"/>
          </a:solidFill>
          <a:ln>
            <a:noFill/>
          </a:ln>
          <a:effectLst/>
        </c:spPr>
      </c:pivotFmt>
      <c:pivotFmt>
        <c:idx val="52"/>
        <c:spPr>
          <a:solidFill>
            <a:schemeClr val="tx1">
              <a:lumMod val="95000"/>
              <a:lumOff val="5000"/>
            </a:schemeClr>
          </a:solidFill>
          <a:ln>
            <a:noFill/>
          </a:ln>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4">
              <a:lumMod val="40000"/>
              <a:lumOff val="60000"/>
            </a:schemeClr>
          </a:solidFill>
          <a:ln>
            <a:noFill/>
          </a:ln>
          <a:effectLst/>
        </c:spPr>
        <c:dLbl>
          <c:idx val="0"/>
          <c:layout>
            <c:manualLayout>
              <c:x val="0.11375386532481679"/>
              <c:y val="-0.1318108359671464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3919085335027"/>
                  <c:h val="0.15270971379131293"/>
                </c:manualLayout>
              </c15:layout>
            </c:ext>
          </c:extLst>
        </c:dLbl>
      </c:pivotFmt>
      <c:pivotFmt>
        <c:idx val="54"/>
        <c:spPr>
          <a:solidFill>
            <a:schemeClr val="accent4">
              <a:lumMod val="75000"/>
            </a:schemeClr>
          </a:solidFill>
          <a:ln>
            <a:noFill/>
          </a:ln>
          <a:effectLst/>
        </c:spPr>
        <c:dLbl>
          <c:idx val="0"/>
          <c:layout>
            <c:manualLayout>
              <c:x val="0.24949421622220527"/>
              <c:y val="4.88890453232445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77603930363093"/>
                  <c:h val="0.17945397189837303"/>
                </c:manualLayout>
              </c15:layout>
            </c:ext>
          </c:extLst>
        </c:dLbl>
      </c:pivotFmt>
      <c:pivotFmt>
        <c:idx val="55"/>
        <c:spPr>
          <a:solidFill>
            <a:srgbClr val="A81E6A"/>
          </a:solidFill>
          <a:ln>
            <a:noFill/>
          </a:ln>
          <a:effectLst/>
        </c:spPr>
        <c:dLbl>
          <c:idx val="0"/>
          <c:layout>
            <c:manualLayout>
              <c:x val="-0.1046643864427884"/>
              <c:y val="-0.15664494034135185"/>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25116990524089"/>
                  <c:h val="0.18327458019938161"/>
                </c:manualLayout>
              </c15:layout>
            </c:ext>
          </c:extLst>
        </c:dLbl>
      </c:pivotFmt>
      <c:pivotFmt>
        <c:idx val="56"/>
        <c:spPr>
          <a:solidFill>
            <a:schemeClr val="accent4">
              <a:lumMod val="75000"/>
            </a:schemeClr>
          </a:solidFill>
          <a:ln>
            <a:noFill/>
          </a:ln>
        </c:spPr>
        <c:marker>
          <c:symbol val="none"/>
        </c:marker>
        <c:dLbl>
          <c:idx val="0"/>
          <c:delete val="1"/>
          <c:extLst>
            <c:ext xmlns:c15="http://schemas.microsoft.com/office/drawing/2012/chart" uri="{CE6537A1-D6FC-4f65-9D91-7224C49458BB}"/>
          </c:extLst>
        </c:dLbl>
      </c:pivotFmt>
      <c:pivotFmt>
        <c:idx val="57"/>
        <c:spPr>
          <a:solidFill>
            <a:schemeClr val="accent4">
              <a:lumMod val="40000"/>
              <a:lumOff val="60000"/>
            </a:schemeClr>
          </a:solidFill>
          <a:ln>
            <a:noFill/>
          </a:ln>
          <a:effectLst/>
        </c:spPr>
      </c:pivotFmt>
      <c:pivotFmt>
        <c:idx val="58"/>
        <c:spPr>
          <a:solidFill>
            <a:schemeClr val="accent4">
              <a:lumMod val="75000"/>
            </a:schemeClr>
          </a:solidFill>
          <a:ln>
            <a:noFill/>
          </a:ln>
          <a:effectLst/>
        </c:spPr>
      </c:pivotFmt>
      <c:pivotFmt>
        <c:idx val="59"/>
        <c:spPr>
          <a:solidFill>
            <a:srgbClr val="A81E6A"/>
          </a:solidFill>
          <a:ln>
            <a:noFill/>
          </a:ln>
          <a:effectLst/>
        </c:spPr>
      </c:pivotFmt>
      <c:pivotFmt>
        <c:idx val="60"/>
        <c:spPr>
          <a:solidFill>
            <a:schemeClr val="tx1">
              <a:lumMod val="95000"/>
              <a:lumOff val="5000"/>
            </a:schemeClr>
          </a:solidFill>
          <a:ln>
            <a:noFill/>
          </a:ln>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4">
              <a:lumMod val="40000"/>
              <a:lumOff val="60000"/>
            </a:schemeClr>
          </a:solidFill>
          <a:ln>
            <a:noFill/>
          </a:ln>
          <a:effectLst/>
        </c:spPr>
        <c:dLbl>
          <c:idx val="0"/>
          <c:layout>
            <c:manualLayout>
              <c:x val="0.11375386532481679"/>
              <c:y val="-0.1318108359671464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3919085335027"/>
                  <c:h val="0.15270971379131293"/>
                </c:manualLayout>
              </c15:layout>
            </c:ext>
          </c:extLst>
        </c:dLbl>
      </c:pivotFmt>
      <c:pivotFmt>
        <c:idx val="62"/>
        <c:spPr>
          <a:solidFill>
            <a:schemeClr val="accent4">
              <a:lumMod val="75000"/>
            </a:schemeClr>
          </a:solidFill>
          <a:ln>
            <a:noFill/>
          </a:ln>
          <a:effectLst/>
        </c:spPr>
        <c:dLbl>
          <c:idx val="0"/>
          <c:layout>
            <c:manualLayout>
              <c:x val="0.24949421622220527"/>
              <c:y val="4.88890453232445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77603930363093"/>
                  <c:h val="0.17945397189837303"/>
                </c:manualLayout>
              </c15:layout>
            </c:ext>
          </c:extLst>
        </c:dLbl>
      </c:pivotFmt>
      <c:pivotFmt>
        <c:idx val="63"/>
        <c:spPr>
          <a:solidFill>
            <a:srgbClr val="A81E6A"/>
          </a:solidFill>
          <a:ln>
            <a:noFill/>
          </a:ln>
          <a:effectLst/>
        </c:spPr>
        <c:dLbl>
          <c:idx val="0"/>
          <c:layout>
            <c:manualLayout>
              <c:x val="-0.1046643864427884"/>
              <c:y val="-0.15664494034135185"/>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25116990524089"/>
                  <c:h val="0.18327458019938161"/>
                </c:manualLayout>
              </c15:layout>
            </c:ext>
          </c:extLst>
        </c:dLbl>
      </c:pivotFmt>
      <c:pivotFmt>
        <c:idx val="64"/>
        <c:spPr>
          <a:solidFill>
            <a:schemeClr val="accent4">
              <a:lumMod val="75000"/>
            </a:schemeClr>
          </a:solidFill>
          <a:ln>
            <a:noFill/>
          </a:ln>
        </c:spPr>
        <c:marker>
          <c:symbol val="none"/>
        </c:marker>
        <c:dLbl>
          <c:idx val="0"/>
          <c:delete val="1"/>
          <c:extLst>
            <c:ext xmlns:c15="http://schemas.microsoft.com/office/drawing/2012/chart" uri="{CE6537A1-D6FC-4f65-9D91-7224C49458BB}"/>
          </c:extLst>
        </c:dLbl>
      </c:pivotFmt>
      <c:pivotFmt>
        <c:idx val="65"/>
        <c:spPr>
          <a:solidFill>
            <a:schemeClr val="accent4">
              <a:lumMod val="40000"/>
              <a:lumOff val="60000"/>
            </a:schemeClr>
          </a:solidFill>
          <a:ln>
            <a:noFill/>
          </a:ln>
          <a:effectLst/>
        </c:spPr>
      </c:pivotFmt>
      <c:pivotFmt>
        <c:idx val="66"/>
        <c:spPr>
          <a:solidFill>
            <a:schemeClr val="accent4">
              <a:lumMod val="75000"/>
            </a:schemeClr>
          </a:solidFill>
          <a:ln>
            <a:noFill/>
          </a:ln>
          <a:effectLst/>
        </c:spPr>
      </c:pivotFmt>
      <c:pivotFmt>
        <c:idx val="67"/>
        <c:spPr>
          <a:solidFill>
            <a:srgbClr val="A81E6A"/>
          </a:solidFill>
          <a:ln>
            <a:noFill/>
          </a:ln>
          <a:effectLst/>
        </c:spPr>
      </c:pivotFmt>
    </c:pivotFmts>
    <c:plotArea>
      <c:layout>
        <c:manualLayout>
          <c:layoutTarget val="inner"/>
          <c:xMode val="edge"/>
          <c:yMode val="edge"/>
          <c:x val="8.987746554602824E-2"/>
          <c:y val="0.22655364886142865"/>
          <c:w val="0.53664833949914692"/>
          <c:h val="0.67317854755514162"/>
        </c:manualLayout>
      </c:layout>
      <c:doughnutChart>
        <c:varyColors val="1"/>
        <c:ser>
          <c:idx val="1"/>
          <c:order val="0"/>
          <c:tx>
            <c:strRef>
              <c:f>'Pivot Analysis'!$E$4</c:f>
              <c:strCache>
                <c:ptCount val="1"/>
                <c:pt idx="0">
                  <c:v>Sum of Total_Amount</c:v>
                </c:pt>
              </c:strCache>
            </c:strRef>
          </c:tx>
          <c:spPr>
            <a:solidFill>
              <a:schemeClr val="tx1">
                <a:lumMod val="95000"/>
                <a:lumOff val="5000"/>
              </a:schemeClr>
            </a:solidFill>
            <a:ln>
              <a:noFill/>
            </a:ln>
          </c:spPr>
          <c:dPt>
            <c:idx val="0"/>
            <c:bubble3D val="0"/>
            <c:spPr>
              <a:solidFill>
                <a:schemeClr val="accent4">
                  <a:lumMod val="40000"/>
                  <a:lumOff val="60000"/>
                </a:schemeClr>
              </a:solidFill>
              <a:ln>
                <a:noFill/>
              </a:ln>
              <a:effectLst/>
            </c:spPr>
            <c:extLst>
              <c:ext xmlns:c16="http://schemas.microsoft.com/office/drawing/2014/chart" uri="{C3380CC4-5D6E-409C-BE32-E72D297353CC}">
                <c16:uniqueId val="{00000001-DD86-485D-A236-1A45A40D6C40}"/>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3-DD86-485D-A236-1A45A40D6C40}"/>
              </c:ext>
            </c:extLst>
          </c:dPt>
          <c:dPt>
            <c:idx val="2"/>
            <c:bubble3D val="0"/>
            <c:spPr>
              <a:solidFill>
                <a:srgbClr val="A81E6A"/>
              </a:solidFill>
              <a:ln>
                <a:noFill/>
              </a:ln>
              <a:effectLst/>
            </c:spPr>
            <c:extLst>
              <c:ext xmlns:c16="http://schemas.microsoft.com/office/drawing/2014/chart" uri="{C3380CC4-5D6E-409C-BE32-E72D297353CC}">
                <c16:uniqueId val="{00000005-DD86-485D-A236-1A45A40D6C40}"/>
              </c:ext>
            </c:extLst>
          </c:dPt>
          <c:dLbls>
            <c:dLbl>
              <c:idx val="0"/>
              <c:layout>
                <c:manualLayout>
                  <c:x val="0.11375386532481679"/>
                  <c:y val="-0.13181083596714641"/>
                </c:manualLayout>
              </c:layout>
              <c:showLegendKey val="0"/>
              <c:showVal val="0"/>
              <c:showCatName val="1"/>
              <c:showSerName val="0"/>
              <c:showPercent val="1"/>
              <c:showBubbleSize val="0"/>
              <c:extLst>
                <c:ext xmlns:c15="http://schemas.microsoft.com/office/drawing/2012/chart" uri="{CE6537A1-D6FC-4f65-9D91-7224C49458BB}">
                  <c15:layout>
                    <c:manualLayout>
                      <c:w val="0.2093919085335027"/>
                      <c:h val="0.15270971379131293"/>
                    </c:manualLayout>
                  </c15:layout>
                </c:ext>
                <c:ext xmlns:c16="http://schemas.microsoft.com/office/drawing/2014/chart" uri="{C3380CC4-5D6E-409C-BE32-E72D297353CC}">
                  <c16:uniqueId val="{00000001-DD86-485D-A236-1A45A40D6C40}"/>
                </c:ext>
              </c:extLst>
            </c:dLbl>
            <c:dLbl>
              <c:idx val="1"/>
              <c:layout>
                <c:manualLayout>
                  <c:x val="0.24949421622220527"/>
                  <c:y val="4.888904532324452E-2"/>
                </c:manualLayout>
              </c:layout>
              <c:showLegendKey val="0"/>
              <c:showVal val="0"/>
              <c:showCatName val="1"/>
              <c:showSerName val="0"/>
              <c:showPercent val="1"/>
              <c:showBubbleSize val="0"/>
              <c:extLst>
                <c:ext xmlns:c15="http://schemas.microsoft.com/office/drawing/2012/chart" uri="{CE6537A1-D6FC-4f65-9D91-7224C49458BB}">
                  <c15:layout>
                    <c:manualLayout>
                      <c:w val="0.21877603930363093"/>
                      <c:h val="0.17945397189837303"/>
                    </c:manualLayout>
                  </c15:layout>
                </c:ext>
                <c:ext xmlns:c16="http://schemas.microsoft.com/office/drawing/2014/chart" uri="{C3380CC4-5D6E-409C-BE32-E72D297353CC}">
                  <c16:uniqueId val="{00000003-DD86-485D-A236-1A45A40D6C40}"/>
                </c:ext>
              </c:extLst>
            </c:dLbl>
            <c:dLbl>
              <c:idx val="2"/>
              <c:layout>
                <c:manualLayout>
                  <c:x val="-0.1046643864427884"/>
                  <c:y val="-0.15664494034135185"/>
                </c:manualLayout>
              </c:layout>
              <c:showLegendKey val="0"/>
              <c:showVal val="0"/>
              <c:showCatName val="1"/>
              <c:showSerName val="0"/>
              <c:showPercent val="1"/>
              <c:showBubbleSize val="0"/>
              <c:extLst>
                <c:ext xmlns:c15="http://schemas.microsoft.com/office/drawing/2012/chart" uri="{CE6537A1-D6FC-4f65-9D91-7224C49458BB}">
                  <c15:layout>
                    <c:manualLayout>
                      <c:w val="0.16825116990524089"/>
                      <c:h val="0.18327458019938161"/>
                    </c:manualLayout>
                  </c15:layout>
                </c:ext>
                <c:ext xmlns:c16="http://schemas.microsoft.com/office/drawing/2014/chart" uri="{C3380CC4-5D6E-409C-BE32-E72D297353CC}">
                  <c16:uniqueId val="{00000005-DD86-485D-A236-1A45A40D6C40}"/>
                </c:ext>
              </c:extLst>
            </c:dLbl>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Analysis'!$D$5:$D$8</c:f>
              <c:strCache>
                <c:ptCount val="3"/>
                <c:pt idx="0">
                  <c:v>Basic</c:v>
                </c:pt>
                <c:pt idx="1">
                  <c:v>Premium</c:v>
                </c:pt>
                <c:pt idx="2">
                  <c:v>Standard</c:v>
                </c:pt>
              </c:strCache>
            </c:strRef>
          </c:cat>
          <c:val>
            <c:numRef>
              <c:f>'Pivot Analysis'!$E$5:$E$8</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DD86-485D-A236-1A45A40D6C40}"/>
            </c:ext>
          </c:extLst>
        </c:ser>
        <c:ser>
          <c:idx val="0"/>
          <c:order val="1"/>
          <c:tx>
            <c:strRef>
              <c:f>'Pivot Analysis'!$F$4</c:f>
              <c:strCache>
                <c:ptCount val="1"/>
                <c:pt idx="0">
                  <c:v>Count of Transaction_ID</c:v>
                </c:pt>
              </c:strCache>
            </c:strRef>
          </c:tx>
          <c:spPr>
            <a:solidFill>
              <a:schemeClr val="accent4">
                <a:lumMod val="75000"/>
              </a:schemeClr>
            </a:solidFill>
            <a:ln>
              <a:noFill/>
            </a:ln>
          </c:spPr>
          <c:dPt>
            <c:idx val="0"/>
            <c:bubble3D val="0"/>
            <c:spPr>
              <a:solidFill>
                <a:schemeClr val="accent4">
                  <a:lumMod val="40000"/>
                  <a:lumOff val="60000"/>
                </a:schemeClr>
              </a:solidFill>
              <a:ln>
                <a:noFill/>
              </a:ln>
              <a:effectLst/>
            </c:spPr>
            <c:extLst>
              <c:ext xmlns:c16="http://schemas.microsoft.com/office/drawing/2014/chart" uri="{C3380CC4-5D6E-409C-BE32-E72D297353CC}">
                <c16:uniqueId val="{00000008-DD86-485D-A236-1A45A40D6C40}"/>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A-DD86-485D-A236-1A45A40D6C40}"/>
              </c:ext>
            </c:extLst>
          </c:dPt>
          <c:dPt>
            <c:idx val="2"/>
            <c:bubble3D val="0"/>
            <c:spPr>
              <a:solidFill>
                <a:srgbClr val="A81E6A"/>
              </a:solidFill>
              <a:ln>
                <a:noFill/>
              </a:ln>
              <a:effectLst/>
            </c:spPr>
            <c:extLst>
              <c:ext xmlns:c16="http://schemas.microsoft.com/office/drawing/2014/chart" uri="{C3380CC4-5D6E-409C-BE32-E72D297353CC}">
                <c16:uniqueId val="{0000000C-DD86-485D-A236-1A45A40D6C40}"/>
              </c:ext>
            </c:extLst>
          </c:dPt>
          <c:cat>
            <c:strRef>
              <c:f>'Pivot Analysis'!$D$5:$D$8</c:f>
              <c:strCache>
                <c:ptCount val="3"/>
                <c:pt idx="0">
                  <c:v>Basic</c:v>
                </c:pt>
                <c:pt idx="1">
                  <c:v>Premium</c:v>
                </c:pt>
                <c:pt idx="2">
                  <c:v>Standard</c:v>
                </c:pt>
              </c:strCache>
            </c:strRef>
          </c:cat>
          <c:val>
            <c:numRef>
              <c:f>'Pivot Analysis'!$F$5:$F$8</c:f>
              <c:numCache>
                <c:formatCode>General</c:formatCode>
                <c:ptCount val="3"/>
                <c:pt idx="0">
                  <c:v>74</c:v>
                </c:pt>
                <c:pt idx="1">
                  <c:v>95</c:v>
                </c:pt>
                <c:pt idx="2">
                  <c:v>81</c:v>
                </c:pt>
              </c:numCache>
            </c:numRef>
          </c:val>
          <c:extLst>
            <c:ext xmlns:c16="http://schemas.microsoft.com/office/drawing/2014/chart" uri="{C3380CC4-5D6E-409C-BE32-E72D297353CC}">
              <c16:uniqueId val="{0000000D-DD86-485D-A236-1A45A40D6C40}"/>
            </c:ext>
          </c:extLst>
        </c:ser>
        <c:dLbls>
          <c:showLegendKey val="0"/>
          <c:showVal val="0"/>
          <c:showCatName val="0"/>
          <c:showSerName val="0"/>
          <c:showPercent val="0"/>
          <c:showBubbleSize val="0"/>
          <c:showLeaderLines val="0"/>
        </c:dLbls>
        <c:firstSliceAng val="10"/>
        <c:holeSize val="55"/>
      </c:doughnutChart>
      <c:spPr>
        <a:noFill/>
        <a:ln>
          <a:noFill/>
        </a:ln>
        <a:effectLst/>
      </c:spPr>
    </c:plotArea>
    <c:legend>
      <c:legendPos val="r"/>
      <c:layout>
        <c:manualLayout>
          <c:xMode val="edge"/>
          <c:yMode val="edge"/>
          <c:x val="0.70659960295134072"/>
          <c:y val="0.41093139210331409"/>
          <c:w val="0.18375395645702899"/>
          <c:h val="0.3691676308438008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Analysis!PivotTable1</c:name>
    <c:fmtId val="10"/>
  </c:pivotSource>
  <c:chart>
    <c:autoTitleDeleted val="1"/>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1.9676174579828339E-2"/>
              <c:y val="-0.26372953931681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6396812149857051E-2"/>
              <c:y val="-0.264182165574429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1.9676174579828461E-2"/>
              <c:y val="-0.3275483556709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9676174579828402E-2"/>
              <c:y val="-0.36395490142525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3.0060475013565409E-17"/>
              <c:y val="-0.27820347496899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3.0060475013565409E-17"/>
              <c:y val="-0.27820347496899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1.9676174579828402E-2"/>
              <c:y val="-0.36395490142525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dLbl>
          <c:idx val="0"/>
          <c:layout>
            <c:manualLayout>
              <c:x val="1.9676174579828461E-2"/>
              <c:y val="-0.3275483556709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layout>
            <c:manualLayout>
              <c:x val="1.6396812149857051E-2"/>
              <c:y val="-0.264182165574429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75000"/>
            </a:schemeClr>
          </a:solidFill>
          <a:ln>
            <a:noFill/>
          </a:ln>
          <a:effectLst/>
        </c:spPr>
        <c:dLbl>
          <c:idx val="0"/>
          <c:layout>
            <c:manualLayout>
              <c:x val="1.9676174579828339E-2"/>
              <c:y val="-0.26372953931681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dLbl>
          <c:idx val="0"/>
          <c:layout>
            <c:manualLayout>
              <c:x val="-3.0060475013565409E-17"/>
              <c:y val="-0.27820347496899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75000"/>
            </a:schemeClr>
          </a:solidFill>
          <a:ln>
            <a:noFill/>
          </a:ln>
          <a:effectLst/>
        </c:spPr>
        <c:dLbl>
          <c:idx val="0"/>
          <c:layout>
            <c:manualLayout>
              <c:x val="1.9676174579828402E-2"/>
              <c:y val="-0.36395490142525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75000"/>
            </a:schemeClr>
          </a:solidFill>
          <a:ln>
            <a:noFill/>
          </a:ln>
          <a:effectLst/>
        </c:spPr>
        <c:dLbl>
          <c:idx val="0"/>
          <c:layout>
            <c:manualLayout>
              <c:x val="1.9676174579828461E-2"/>
              <c:y val="-0.3275483556709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c:spPr>
        <c:dLbl>
          <c:idx val="0"/>
          <c:layout>
            <c:manualLayout>
              <c:x val="1.6396812149857051E-2"/>
              <c:y val="-0.264182165574429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c:spPr>
        <c:dLbl>
          <c:idx val="0"/>
          <c:layout>
            <c:manualLayout>
              <c:x val="1.9676174579828339E-2"/>
              <c:y val="-0.26372953931681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3024690011181"/>
          <c:y val="0.20189984150651136"/>
          <c:w val="0.79762305613855333"/>
          <c:h val="0.72566598916371716"/>
        </c:manualLayout>
      </c:layout>
      <c:barChart>
        <c:barDir val="col"/>
        <c:grouping val="stacked"/>
        <c:varyColors val="0"/>
        <c:ser>
          <c:idx val="0"/>
          <c:order val="0"/>
          <c:tx>
            <c:strRef>
              <c:f>'Pivot Analysis'!$B$4</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0DB7-46EA-8B6F-8AD75A882E19}"/>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0DB7-46EA-8B6F-8AD75A882E19}"/>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5-0DB7-46EA-8B6F-8AD75A882E19}"/>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0DB7-46EA-8B6F-8AD75A882E19}"/>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9-0DB7-46EA-8B6F-8AD75A882E19}"/>
              </c:ext>
            </c:extLst>
          </c:dPt>
          <c:dLbls>
            <c:dLbl>
              <c:idx val="0"/>
              <c:layout>
                <c:manualLayout>
                  <c:x val="-3.0060475013565409E-17"/>
                  <c:y val="-0.278203474968995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B7-46EA-8B6F-8AD75A882E19}"/>
                </c:ext>
              </c:extLst>
            </c:dLbl>
            <c:dLbl>
              <c:idx val="1"/>
              <c:layout>
                <c:manualLayout>
                  <c:x val="1.9676174579828402E-2"/>
                  <c:y val="-0.363954901425252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B7-46EA-8B6F-8AD75A882E19}"/>
                </c:ext>
              </c:extLst>
            </c:dLbl>
            <c:dLbl>
              <c:idx val="2"/>
              <c:layout>
                <c:manualLayout>
                  <c:x val="1.9676174579828461E-2"/>
                  <c:y val="-0.32754835567091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B7-46EA-8B6F-8AD75A882E19}"/>
                </c:ext>
              </c:extLst>
            </c:dLbl>
            <c:dLbl>
              <c:idx val="3"/>
              <c:layout>
                <c:manualLayout>
                  <c:x val="1.6396812149857051E-2"/>
                  <c:y val="-0.264182165574429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B7-46EA-8B6F-8AD75A882E19}"/>
                </c:ext>
              </c:extLst>
            </c:dLbl>
            <c:dLbl>
              <c:idx val="4"/>
              <c:layout>
                <c:manualLayout>
                  <c:x val="1.9676174579828339E-2"/>
                  <c:y val="-0.263729539316816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B7-46EA-8B6F-8AD75A882E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Analysis'!$A$5:$A$10</c:f>
              <c:strCache>
                <c:ptCount val="5"/>
                <c:pt idx="0">
                  <c:v>Central</c:v>
                </c:pt>
                <c:pt idx="1">
                  <c:v>East</c:v>
                </c:pt>
                <c:pt idx="2">
                  <c:v>North</c:v>
                </c:pt>
                <c:pt idx="3">
                  <c:v>South</c:v>
                </c:pt>
                <c:pt idx="4">
                  <c:v>West</c:v>
                </c:pt>
              </c:strCache>
            </c:strRef>
          </c:cat>
          <c:val>
            <c:numRef>
              <c:f>'Pivot Analysis'!$B$5:$B$10</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0DB7-46EA-8B6F-8AD75A882E19}"/>
            </c:ext>
          </c:extLst>
        </c:ser>
        <c:dLbls>
          <c:showLegendKey val="0"/>
          <c:showVal val="1"/>
          <c:showCatName val="0"/>
          <c:showSerName val="0"/>
          <c:showPercent val="0"/>
          <c:showBubbleSize val="0"/>
        </c:dLbls>
        <c:gapWidth val="150"/>
        <c:overlap val="100"/>
        <c:axId val="1606404799"/>
        <c:axId val="1784442799"/>
      </c:barChart>
      <c:catAx>
        <c:axId val="1606404799"/>
        <c:scaling>
          <c:orientation val="minMax"/>
        </c:scaling>
        <c:delete val="0"/>
        <c:axPos val="b"/>
        <c:numFmt formatCode="General"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4442799"/>
        <c:crosses val="autoZero"/>
        <c:auto val="1"/>
        <c:lblAlgn val="ctr"/>
        <c:lblOffset val="100"/>
        <c:noMultiLvlLbl val="0"/>
      </c:catAx>
      <c:valAx>
        <c:axId val="1784442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64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Analysis!PivotTable2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3153811285057"/>
          <c:y val="0.20486438107918192"/>
          <c:w val="0.83032503363208421"/>
          <c:h val="0.70437900809941201"/>
        </c:manualLayout>
      </c:layout>
      <c:barChart>
        <c:barDir val="bar"/>
        <c:grouping val="clustered"/>
        <c:varyColors val="0"/>
        <c:ser>
          <c:idx val="0"/>
          <c:order val="0"/>
          <c:tx>
            <c:strRef>
              <c:f>'Pivot Analysis'!$I$4</c:f>
              <c:strCache>
                <c:ptCount val="1"/>
                <c:pt idx="0">
                  <c:v>Sum of Quantity</c:v>
                </c:pt>
              </c:strCache>
            </c:strRef>
          </c:tx>
          <c:spPr>
            <a:solidFill>
              <a:schemeClr val="accent1"/>
            </a:solidFill>
            <a:ln>
              <a:noFill/>
            </a:ln>
            <a:effectLst/>
          </c:spPr>
          <c:invertIfNegative val="0"/>
          <c:cat>
            <c:strRef>
              <c:f>'Pivot Analysis'!$H$5:$H$15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Analysis'!$I$5:$I$15</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9C74-4423-B4CF-8B3DE85CE162}"/>
            </c:ext>
          </c:extLst>
        </c:ser>
        <c:ser>
          <c:idx val="1"/>
          <c:order val="1"/>
          <c:tx>
            <c:strRef>
              <c:f>'Pivot Analysis'!$J$4</c:f>
              <c:strCache>
                <c:ptCount val="1"/>
                <c:pt idx="0">
                  <c:v>Sum of Total_Amount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Analysis'!$H$5:$H$15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Analysis'!$J$5:$J$15</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1-9C74-4423-B4CF-8B3DE85CE162}"/>
            </c:ext>
          </c:extLst>
        </c:ser>
        <c:dLbls>
          <c:showLegendKey val="0"/>
          <c:showVal val="0"/>
          <c:showCatName val="0"/>
          <c:showSerName val="0"/>
          <c:showPercent val="0"/>
          <c:showBubbleSize val="0"/>
        </c:dLbls>
        <c:gapWidth val="5"/>
        <c:axId val="258021327"/>
        <c:axId val="286373935"/>
      </c:barChart>
      <c:catAx>
        <c:axId val="258021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286373935"/>
        <c:crosses val="autoZero"/>
        <c:auto val="1"/>
        <c:lblAlgn val="ctr"/>
        <c:lblOffset val="100"/>
        <c:noMultiLvlLbl val="0"/>
      </c:catAx>
      <c:valAx>
        <c:axId val="286373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5802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Analysis!PivotTable1</c:name>
    <c:fmtId val="11"/>
  </c:pivotSource>
  <c:chart>
    <c:autoTitleDeleted val="1"/>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1.9676174579828339E-2"/>
              <c:y val="-0.26372953931681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6396812149857051E-2"/>
              <c:y val="-0.264182165574429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1.9676174579828461E-2"/>
              <c:y val="-0.3275483556709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9676174579828402E-2"/>
              <c:y val="-0.36395490142525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3.0060475013565409E-17"/>
              <c:y val="-0.27820347496899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3.0060475013565409E-17"/>
              <c:y val="-0.27820347496899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1.9676174579828402E-2"/>
              <c:y val="-0.36395490142525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dLbl>
          <c:idx val="0"/>
          <c:layout>
            <c:manualLayout>
              <c:x val="1.9676174579828461E-2"/>
              <c:y val="-0.3275483556709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layout>
            <c:manualLayout>
              <c:x val="1.6396812149857051E-2"/>
              <c:y val="-0.264182165574429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75000"/>
            </a:schemeClr>
          </a:solidFill>
          <a:ln>
            <a:noFill/>
          </a:ln>
          <a:effectLst/>
        </c:spPr>
        <c:dLbl>
          <c:idx val="0"/>
          <c:layout>
            <c:manualLayout>
              <c:x val="1.9676174579828339E-2"/>
              <c:y val="-0.26372953931681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dLbl>
          <c:idx val="0"/>
          <c:layout>
            <c:manualLayout>
              <c:x val="-3.0060475013565409E-17"/>
              <c:y val="-0.27820347496899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75000"/>
            </a:schemeClr>
          </a:solidFill>
          <a:ln>
            <a:noFill/>
          </a:ln>
          <a:effectLst/>
        </c:spPr>
        <c:dLbl>
          <c:idx val="0"/>
          <c:layout>
            <c:manualLayout>
              <c:x val="1.9676174579828402E-2"/>
              <c:y val="-0.36395490142525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75000"/>
            </a:schemeClr>
          </a:solidFill>
          <a:ln>
            <a:noFill/>
          </a:ln>
          <a:effectLst/>
        </c:spPr>
        <c:dLbl>
          <c:idx val="0"/>
          <c:layout>
            <c:manualLayout>
              <c:x val="1.9676174579828461E-2"/>
              <c:y val="-0.3275483556709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c:spPr>
        <c:dLbl>
          <c:idx val="0"/>
          <c:layout>
            <c:manualLayout>
              <c:x val="1.6396812149857051E-2"/>
              <c:y val="-0.264182165574429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c:spPr>
        <c:dLbl>
          <c:idx val="0"/>
          <c:layout>
            <c:manualLayout>
              <c:x val="1.9676174579828339E-2"/>
              <c:y val="-0.26372953931681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3024690011181"/>
          <c:y val="0.20189984150651136"/>
          <c:w val="0.79762305613855333"/>
          <c:h val="0.72566598916371716"/>
        </c:manualLayout>
      </c:layout>
      <c:barChart>
        <c:barDir val="col"/>
        <c:grouping val="stacked"/>
        <c:varyColors val="0"/>
        <c:ser>
          <c:idx val="0"/>
          <c:order val="0"/>
          <c:tx>
            <c:strRef>
              <c:f>'Pivot Analysis'!$B$4</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8D50-4377-BD52-C32DE2867AE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8D50-4377-BD52-C32DE2867AED}"/>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5-8D50-4377-BD52-C32DE2867AED}"/>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8D50-4377-BD52-C32DE2867AED}"/>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9-8D50-4377-BD52-C32DE2867AED}"/>
              </c:ext>
            </c:extLst>
          </c:dPt>
          <c:dLbls>
            <c:dLbl>
              <c:idx val="0"/>
              <c:layout>
                <c:manualLayout>
                  <c:x val="-3.0060475013565409E-17"/>
                  <c:y val="-0.278203474968995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50-4377-BD52-C32DE2867AED}"/>
                </c:ext>
              </c:extLst>
            </c:dLbl>
            <c:dLbl>
              <c:idx val="1"/>
              <c:layout>
                <c:manualLayout>
                  <c:x val="1.9676174579828402E-2"/>
                  <c:y val="-0.363954901425252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50-4377-BD52-C32DE2867AED}"/>
                </c:ext>
              </c:extLst>
            </c:dLbl>
            <c:dLbl>
              <c:idx val="2"/>
              <c:layout>
                <c:manualLayout>
                  <c:x val="1.9676174579828461E-2"/>
                  <c:y val="-0.32754835567091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50-4377-BD52-C32DE2867AED}"/>
                </c:ext>
              </c:extLst>
            </c:dLbl>
            <c:dLbl>
              <c:idx val="3"/>
              <c:layout>
                <c:manualLayout>
                  <c:x val="1.6396812149857051E-2"/>
                  <c:y val="-0.264182165574429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50-4377-BD52-C32DE2867AED}"/>
                </c:ext>
              </c:extLst>
            </c:dLbl>
            <c:dLbl>
              <c:idx val="4"/>
              <c:layout>
                <c:manualLayout>
                  <c:x val="1.9676174579828339E-2"/>
                  <c:y val="-0.263729539316816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50-4377-BD52-C32DE2867A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Analysis'!$A$5:$A$10</c:f>
              <c:strCache>
                <c:ptCount val="5"/>
                <c:pt idx="0">
                  <c:v>Central</c:v>
                </c:pt>
                <c:pt idx="1">
                  <c:v>East</c:v>
                </c:pt>
                <c:pt idx="2">
                  <c:v>North</c:v>
                </c:pt>
                <c:pt idx="3">
                  <c:v>South</c:v>
                </c:pt>
                <c:pt idx="4">
                  <c:v>West</c:v>
                </c:pt>
              </c:strCache>
            </c:strRef>
          </c:cat>
          <c:val>
            <c:numRef>
              <c:f>'Pivot Analysis'!$B$5:$B$10</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8D50-4377-BD52-C32DE2867AED}"/>
            </c:ext>
          </c:extLst>
        </c:ser>
        <c:dLbls>
          <c:showLegendKey val="0"/>
          <c:showVal val="1"/>
          <c:showCatName val="0"/>
          <c:showSerName val="0"/>
          <c:showPercent val="0"/>
          <c:showBubbleSize val="0"/>
        </c:dLbls>
        <c:gapWidth val="150"/>
        <c:overlap val="100"/>
        <c:axId val="1606404799"/>
        <c:axId val="1784442799"/>
      </c:barChart>
      <c:catAx>
        <c:axId val="1606404799"/>
        <c:scaling>
          <c:orientation val="minMax"/>
        </c:scaling>
        <c:delete val="0"/>
        <c:axPos val="b"/>
        <c:numFmt formatCode="General"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4442799"/>
        <c:crosses val="autoZero"/>
        <c:auto val="1"/>
        <c:lblAlgn val="ctr"/>
        <c:lblOffset val="100"/>
        <c:noMultiLvlLbl val="0"/>
      </c:catAx>
      <c:valAx>
        <c:axId val="1784442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64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Analysis!PivotTable2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3153811285057"/>
          <c:y val="0.20486438107918192"/>
          <c:w val="0.83032503363208421"/>
          <c:h val="0.70437900809941201"/>
        </c:manualLayout>
      </c:layout>
      <c:barChart>
        <c:barDir val="bar"/>
        <c:grouping val="clustered"/>
        <c:varyColors val="0"/>
        <c:ser>
          <c:idx val="0"/>
          <c:order val="0"/>
          <c:tx>
            <c:strRef>
              <c:f>'Pivot Analysis'!$I$4</c:f>
              <c:strCache>
                <c:ptCount val="1"/>
                <c:pt idx="0">
                  <c:v>Sum of Quantity</c:v>
                </c:pt>
              </c:strCache>
            </c:strRef>
          </c:tx>
          <c:spPr>
            <a:solidFill>
              <a:schemeClr val="accent1"/>
            </a:solidFill>
            <a:ln>
              <a:noFill/>
            </a:ln>
            <a:effectLst/>
          </c:spPr>
          <c:invertIfNegative val="0"/>
          <c:cat>
            <c:strRef>
              <c:f>'Pivot Analysis'!$H$5:$H$15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Analysis'!$I$5:$I$15</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8715-41C7-9A21-79655494A88C}"/>
            </c:ext>
          </c:extLst>
        </c:ser>
        <c:ser>
          <c:idx val="1"/>
          <c:order val="1"/>
          <c:tx>
            <c:strRef>
              <c:f>'Pivot Analysis'!$J$4</c:f>
              <c:strCache>
                <c:ptCount val="1"/>
                <c:pt idx="0">
                  <c:v>Sum of Total_Amount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Analysis'!$H$5:$H$15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Analysis'!$J$5:$J$15</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1-8715-41C7-9A21-79655494A88C}"/>
            </c:ext>
          </c:extLst>
        </c:ser>
        <c:dLbls>
          <c:showLegendKey val="0"/>
          <c:showVal val="0"/>
          <c:showCatName val="0"/>
          <c:showSerName val="0"/>
          <c:showPercent val="0"/>
          <c:showBubbleSize val="0"/>
        </c:dLbls>
        <c:gapWidth val="5"/>
        <c:axId val="258021327"/>
        <c:axId val="286373935"/>
      </c:barChart>
      <c:catAx>
        <c:axId val="258021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286373935"/>
        <c:crosses val="autoZero"/>
        <c:auto val="1"/>
        <c:lblAlgn val="ctr"/>
        <c:lblOffset val="100"/>
        <c:noMultiLvlLbl val="0"/>
      </c:catAx>
      <c:valAx>
        <c:axId val="286373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5802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Analysis!PivotTable3</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tx1">
              <a:lumMod val="95000"/>
              <a:lumOff val="5000"/>
            </a:schemeClr>
          </a:solidFill>
          <a:ln>
            <a:noFill/>
          </a:ln>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4">
              <a:lumMod val="75000"/>
            </a:schemeClr>
          </a:solidFill>
          <a:ln>
            <a:noFill/>
          </a:ln>
        </c:spPr>
        <c:marker>
          <c:symbol val="none"/>
        </c:marker>
        <c:dLbl>
          <c:idx val="0"/>
          <c:delete val="1"/>
          <c:extLst>
            <c:ext xmlns:c15="http://schemas.microsoft.com/office/drawing/2012/chart" uri="{CE6537A1-D6FC-4f65-9D91-7224C49458BB}"/>
          </c:extLst>
        </c:dLbl>
      </c:pivotFmt>
      <c:pivotFmt>
        <c:idx val="46"/>
        <c:spPr>
          <a:solidFill>
            <a:schemeClr val="accent4">
              <a:lumMod val="40000"/>
              <a:lumOff val="60000"/>
            </a:schemeClr>
          </a:solidFill>
          <a:ln>
            <a:noFill/>
          </a:ln>
          <a:effectLst/>
        </c:spPr>
        <c:dLbl>
          <c:idx val="0"/>
          <c:layout>
            <c:manualLayout>
              <c:x val="0.11375386532481679"/>
              <c:y val="-0.1318108359671464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3919085335027"/>
                  <c:h val="0.15270971379131293"/>
                </c:manualLayout>
              </c15:layout>
            </c:ext>
          </c:extLst>
        </c:dLbl>
      </c:pivotFmt>
      <c:pivotFmt>
        <c:idx val="47"/>
        <c:spPr>
          <a:solidFill>
            <a:schemeClr val="accent4">
              <a:lumMod val="75000"/>
            </a:schemeClr>
          </a:solidFill>
          <a:ln>
            <a:noFill/>
          </a:ln>
          <a:effectLst/>
        </c:spPr>
        <c:dLbl>
          <c:idx val="0"/>
          <c:layout>
            <c:manualLayout>
              <c:x val="0.24949421622220527"/>
              <c:y val="4.88890453232445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77603930363093"/>
                  <c:h val="0.17945397189837303"/>
                </c:manualLayout>
              </c15:layout>
            </c:ext>
          </c:extLst>
        </c:dLbl>
      </c:pivotFmt>
      <c:pivotFmt>
        <c:idx val="48"/>
        <c:spPr>
          <a:solidFill>
            <a:srgbClr val="A81E6A"/>
          </a:solidFill>
          <a:ln>
            <a:noFill/>
          </a:ln>
          <a:effectLst/>
        </c:spPr>
        <c:dLbl>
          <c:idx val="0"/>
          <c:layout>
            <c:manualLayout>
              <c:x val="-0.1046643864427884"/>
              <c:y val="-0.15664494034135185"/>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25116990524089"/>
                  <c:h val="0.18327458019938161"/>
                </c:manualLayout>
              </c15:layout>
            </c:ext>
          </c:extLst>
        </c:dLbl>
      </c:pivotFmt>
      <c:pivotFmt>
        <c:idx val="49"/>
        <c:spPr>
          <a:solidFill>
            <a:schemeClr val="accent4">
              <a:lumMod val="75000"/>
            </a:schemeClr>
          </a:solidFill>
          <a:ln>
            <a:noFill/>
          </a:ln>
          <a:effectLst/>
        </c:spPr>
      </c:pivotFmt>
      <c:pivotFmt>
        <c:idx val="50"/>
        <c:spPr>
          <a:solidFill>
            <a:schemeClr val="accent4">
              <a:lumMod val="40000"/>
              <a:lumOff val="60000"/>
            </a:schemeClr>
          </a:solidFill>
          <a:ln>
            <a:noFill/>
          </a:ln>
          <a:effectLst/>
        </c:spPr>
      </c:pivotFmt>
      <c:pivotFmt>
        <c:idx val="51"/>
        <c:spPr>
          <a:solidFill>
            <a:srgbClr val="A81E6A"/>
          </a:solidFill>
          <a:ln>
            <a:noFill/>
          </a:ln>
          <a:effectLst/>
        </c:spPr>
      </c:pivotFmt>
      <c:pivotFmt>
        <c:idx val="52"/>
        <c:spPr>
          <a:solidFill>
            <a:schemeClr val="tx1">
              <a:lumMod val="95000"/>
              <a:lumOff val="5000"/>
            </a:schemeClr>
          </a:solidFill>
          <a:ln>
            <a:noFill/>
          </a:ln>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4">
              <a:lumMod val="40000"/>
              <a:lumOff val="60000"/>
            </a:schemeClr>
          </a:solidFill>
          <a:ln>
            <a:noFill/>
          </a:ln>
          <a:effectLst/>
        </c:spPr>
        <c:dLbl>
          <c:idx val="0"/>
          <c:layout>
            <c:manualLayout>
              <c:x val="0.11375386532481679"/>
              <c:y val="-0.1318108359671464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3919085335027"/>
                  <c:h val="0.15270971379131293"/>
                </c:manualLayout>
              </c15:layout>
            </c:ext>
          </c:extLst>
        </c:dLbl>
      </c:pivotFmt>
      <c:pivotFmt>
        <c:idx val="54"/>
        <c:spPr>
          <a:solidFill>
            <a:schemeClr val="accent4">
              <a:lumMod val="75000"/>
            </a:schemeClr>
          </a:solidFill>
          <a:ln>
            <a:noFill/>
          </a:ln>
          <a:effectLst/>
        </c:spPr>
        <c:dLbl>
          <c:idx val="0"/>
          <c:layout>
            <c:manualLayout>
              <c:x val="0.24949421622220527"/>
              <c:y val="4.88890453232445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77603930363093"/>
                  <c:h val="0.17945397189837303"/>
                </c:manualLayout>
              </c15:layout>
            </c:ext>
          </c:extLst>
        </c:dLbl>
      </c:pivotFmt>
      <c:pivotFmt>
        <c:idx val="55"/>
        <c:spPr>
          <a:solidFill>
            <a:srgbClr val="A81E6A"/>
          </a:solidFill>
          <a:ln>
            <a:noFill/>
          </a:ln>
          <a:effectLst/>
        </c:spPr>
        <c:dLbl>
          <c:idx val="0"/>
          <c:layout>
            <c:manualLayout>
              <c:x val="-0.1046643864427884"/>
              <c:y val="-0.15664494034135185"/>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25116990524089"/>
                  <c:h val="0.18327458019938161"/>
                </c:manualLayout>
              </c15:layout>
            </c:ext>
          </c:extLst>
        </c:dLbl>
      </c:pivotFmt>
      <c:pivotFmt>
        <c:idx val="56"/>
        <c:spPr>
          <a:solidFill>
            <a:schemeClr val="accent4">
              <a:lumMod val="75000"/>
            </a:schemeClr>
          </a:solidFill>
          <a:ln>
            <a:noFill/>
          </a:ln>
        </c:spPr>
        <c:marker>
          <c:symbol val="none"/>
        </c:marker>
        <c:dLbl>
          <c:idx val="0"/>
          <c:delete val="1"/>
          <c:extLst>
            <c:ext xmlns:c15="http://schemas.microsoft.com/office/drawing/2012/chart" uri="{CE6537A1-D6FC-4f65-9D91-7224C49458BB}"/>
          </c:extLst>
        </c:dLbl>
      </c:pivotFmt>
      <c:pivotFmt>
        <c:idx val="57"/>
        <c:spPr>
          <a:solidFill>
            <a:schemeClr val="accent4">
              <a:lumMod val="40000"/>
              <a:lumOff val="60000"/>
            </a:schemeClr>
          </a:solidFill>
          <a:ln>
            <a:noFill/>
          </a:ln>
          <a:effectLst/>
        </c:spPr>
      </c:pivotFmt>
      <c:pivotFmt>
        <c:idx val="58"/>
        <c:spPr>
          <a:solidFill>
            <a:schemeClr val="accent4">
              <a:lumMod val="75000"/>
            </a:schemeClr>
          </a:solidFill>
          <a:ln>
            <a:noFill/>
          </a:ln>
          <a:effectLst/>
        </c:spPr>
      </c:pivotFmt>
      <c:pivotFmt>
        <c:idx val="59"/>
        <c:spPr>
          <a:solidFill>
            <a:srgbClr val="A81E6A"/>
          </a:solidFill>
          <a:ln>
            <a:noFill/>
          </a:ln>
          <a:effectLst/>
        </c:spPr>
      </c:pivotFmt>
      <c:pivotFmt>
        <c:idx val="60"/>
        <c:spPr>
          <a:solidFill>
            <a:schemeClr val="tx1">
              <a:lumMod val="95000"/>
              <a:lumOff val="5000"/>
            </a:schemeClr>
          </a:solidFill>
          <a:ln>
            <a:noFill/>
          </a:ln>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4">
              <a:lumMod val="40000"/>
              <a:lumOff val="60000"/>
            </a:schemeClr>
          </a:solidFill>
          <a:ln>
            <a:noFill/>
          </a:ln>
          <a:effectLst/>
        </c:spPr>
        <c:dLbl>
          <c:idx val="0"/>
          <c:layout>
            <c:manualLayout>
              <c:x val="0.13330933004549117"/>
              <c:y val="-7.70759044196348E-2"/>
            </c:manualLayout>
          </c:layout>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850283797485148"/>
                  <c:h val="0.26217957688633614"/>
                </c:manualLayout>
              </c15:layout>
            </c:ext>
          </c:extLst>
        </c:dLbl>
      </c:pivotFmt>
      <c:pivotFmt>
        <c:idx val="62"/>
        <c:spPr>
          <a:solidFill>
            <a:schemeClr val="accent4">
              <a:lumMod val="75000"/>
            </a:schemeClr>
          </a:solidFill>
          <a:ln>
            <a:noFill/>
          </a:ln>
          <a:effectLst/>
        </c:spPr>
        <c:dLbl>
          <c:idx val="0"/>
          <c:layout>
            <c:manualLayout>
              <c:x val="0.32491489221081804"/>
              <c:y val="6.0023870564293272E-2"/>
            </c:manualLayout>
          </c:layout>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910129009003984"/>
                  <c:h val="0.14953083307317591"/>
                </c:manualLayout>
              </c15:layout>
            </c:ext>
          </c:extLst>
        </c:dLbl>
      </c:pivotFmt>
      <c:pivotFmt>
        <c:idx val="63"/>
        <c:spPr>
          <a:solidFill>
            <a:srgbClr val="A81E6A"/>
          </a:solidFill>
          <a:ln>
            <a:noFill/>
          </a:ln>
          <a:effectLst/>
        </c:spPr>
        <c:dLbl>
          <c:idx val="0"/>
          <c:layout>
            <c:manualLayout>
              <c:x val="-9.4959252419109519E-3"/>
              <c:y val="-0.18091951993441308"/>
            </c:manualLayout>
          </c:layout>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858809230699579"/>
                  <c:h val="0.13472542101325916"/>
                </c:manualLayout>
              </c15:layout>
            </c:ext>
          </c:extLst>
        </c:dLbl>
      </c:pivotFmt>
      <c:pivotFmt>
        <c:idx val="64"/>
        <c:spPr>
          <a:solidFill>
            <a:schemeClr val="accent4">
              <a:lumMod val="75000"/>
            </a:schemeClr>
          </a:solidFill>
          <a:ln>
            <a:noFill/>
          </a:ln>
        </c:spPr>
        <c:marker>
          <c:symbol val="none"/>
        </c:marker>
        <c:dLbl>
          <c:idx val="0"/>
          <c:delete val="1"/>
          <c:extLst>
            <c:ext xmlns:c15="http://schemas.microsoft.com/office/drawing/2012/chart" uri="{CE6537A1-D6FC-4f65-9D91-7224C49458BB}"/>
          </c:extLst>
        </c:dLbl>
      </c:pivotFmt>
      <c:pivotFmt>
        <c:idx val="65"/>
        <c:spPr>
          <a:solidFill>
            <a:schemeClr val="accent4">
              <a:lumMod val="40000"/>
              <a:lumOff val="60000"/>
            </a:schemeClr>
          </a:solidFill>
          <a:ln>
            <a:noFill/>
          </a:ln>
          <a:effectLst/>
        </c:spPr>
      </c:pivotFmt>
      <c:pivotFmt>
        <c:idx val="66"/>
        <c:spPr>
          <a:solidFill>
            <a:schemeClr val="accent4">
              <a:lumMod val="75000"/>
            </a:schemeClr>
          </a:solidFill>
          <a:ln>
            <a:noFill/>
          </a:ln>
          <a:effectLst/>
        </c:spPr>
      </c:pivotFmt>
      <c:pivotFmt>
        <c:idx val="67"/>
        <c:spPr>
          <a:solidFill>
            <a:srgbClr val="A81E6A"/>
          </a:solidFill>
          <a:ln>
            <a:noFill/>
          </a:ln>
          <a:effectLst/>
        </c:spPr>
      </c:pivotFmt>
    </c:pivotFmts>
    <c:plotArea>
      <c:layout>
        <c:manualLayout>
          <c:layoutTarget val="inner"/>
          <c:xMode val="edge"/>
          <c:yMode val="edge"/>
          <c:x val="8.987746554602824E-2"/>
          <c:y val="0.22655364886142865"/>
          <c:w val="0.53664833949914692"/>
          <c:h val="0.67317854755514162"/>
        </c:manualLayout>
      </c:layout>
      <c:doughnutChart>
        <c:varyColors val="1"/>
        <c:ser>
          <c:idx val="1"/>
          <c:order val="0"/>
          <c:tx>
            <c:strRef>
              <c:f>'Pivot Analysis'!$E$4</c:f>
              <c:strCache>
                <c:ptCount val="1"/>
                <c:pt idx="0">
                  <c:v>Sum of Total_Amount</c:v>
                </c:pt>
              </c:strCache>
            </c:strRef>
          </c:tx>
          <c:spPr>
            <a:solidFill>
              <a:schemeClr val="tx1">
                <a:lumMod val="95000"/>
                <a:lumOff val="5000"/>
              </a:schemeClr>
            </a:solidFill>
            <a:ln>
              <a:noFill/>
            </a:ln>
          </c:spPr>
          <c:dPt>
            <c:idx val="0"/>
            <c:bubble3D val="0"/>
            <c:spPr>
              <a:solidFill>
                <a:schemeClr val="accent4">
                  <a:lumMod val="40000"/>
                  <a:lumOff val="60000"/>
                </a:schemeClr>
              </a:solidFill>
              <a:ln>
                <a:noFill/>
              </a:ln>
              <a:effectLst/>
            </c:spPr>
            <c:extLst>
              <c:ext xmlns:c16="http://schemas.microsoft.com/office/drawing/2014/chart" uri="{C3380CC4-5D6E-409C-BE32-E72D297353CC}">
                <c16:uniqueId val="{00000001-3E94-40C5-A724-DED51D01031A}"/>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3-3E94-40C5-A724-DED51D01031A}"/>
              </c:ext>
            </c:extLst>
          </c:dPt>
          <c:dPt>
            <c:idx val="2"/>
            <c:bubble3D val="0"/>
            <c:spPr>
              <a:solidFill>
                <a:srgbClr val="A81E6A"/>
              </a:solidFill>
              <a:ln>
                <a:noFill/>
              </a:ln>
              <a:effectLst/>
            </c:spPr>
            <c:extLst>
              <c:ext xmlns:c16="http://schemas.microsoft.com/office/drawing/2014/chart" uri="{C3380CC4-5D6E-409C-BE32-E72D297353CC}">
                <c16:uniqueId val="{00000005-3E94-40C5-A724-DED51D01031A}"/>
              </c:ext>
            </c:extLst>
          </c:dPt>
          <c:dLbls>
            <c:dLbl>
              <c:idx val="0"/>
              <c:layout>
                <c:manualLayout>
                  <c:x val="0.13330933004549117"/>
                  <c:y val="-7.70759044196348E-2"/>
                </c:manualLayout>
              </c:layout>
              <c:showLegendKey val="0"/>
              <c:showVal val="0"/>
              <c:showCatName val="1"/>
              <c:showSerName val="0"/>
              <c:showPercent val="1"/>
              <c:showBubbleSize val="0"/>
              <c:extLst>
                <c:ext xmlns:c15="http://schemas.microsoft.com/office/drawing/2012/chart" uri="{CE6537A1-D6FC-4f65-9D91-7224C49458BB}">
                  <c15:layout>
                    <c:manualLayout>
                      <c:w val="0.24850283797485148"/>
                      <c:h val="0.26217957688633614"/>
                    </c:manualLayout>
                  </c15:layout>
                </c:ext>
                <c:ext xmlns:c16="http://schemas.microsoft.com/office/drawing/2014/chart" uri="{C3380CC4-5D6E-409C-BE32-E72D297353CC}">
                  <c16:uniqueId val="{00000001-3E94-40C5-A724-DED51D01031A}"/>
                </c:ext>
              </c:extLst>
            </c:dLbl>
            <c:dLbl>
              <c:idx val="1"/>
              <c:layout>
                <c:manualLayout>
                  <c:x val="0.32491489221081804"/>
                  <c:y val="6.0023870564293272E-2"/>
                </c:manualLayout>
              </c:layout>
              <c:showLegendKey val="0"/>
              <c:showVal val="0"/>
              <c:showCatName val="1"/>
              <c:showSerName val="0"/>
              <c:showPercent val="1"/>
              <c:showBubbleSize val="0"/>
              <c:extLst>
                <c:ext xmlns:c15="http://schemas.microsoft.com/office/drawing/2012/chart" uri="{CE6537A1-D6FC-4f65-9D91-7224C49458BB}">
                  <c15:layout>
                    <c:manualLayout>
                      <c:w val="0.37910129009003984"/>
                      <c:h val="0.14953083307317591"/>
                    </c:manualLayout>
                  </c15:layout>
                </c:ext>
                <c:ext xmlns:c16="http://schemas.microsoft.com/office/drawing/2014/chart" uri="{C3380CC4-5D6E-409C-BE32-E72D297353CC}">
                  <c16:uniqueId val="{00000003-3E94-40C5-A724-DED51D01031A}"/>
                </c:ext>
              </c:extLst>
            </c:dLbl>
            <c:dLbl>
              <c:idx val="2"/>
              <c:layout>
                <c:manualLayout>
                  <c:x val="-9.4959252419109519E-3"/>
                  <c:y val="-0.18091951993441308"/>
                </c:manualLayout>
              </c:layout>
              <c:showLegendKey val="0"/>
              <c:showVal val="0"/>
              <c:showCatName val="1"/>
              <c:showSerName val="0"/>
              <c:showPercent val="1"/>
              <c:showBubbleSize val="0"/>
              <c:extLst>
                <c:ext xmlns:c15="http://schemas.microsoft.com/office/drawing/2012/chart" uri="{CE6537A1-D6FC-4f65-9D91-7224C49458BB}">
                  <c15:layout>
                    <c:manualLayout>
                      <c:w val="0.35858809230699579"/>
                      <c:h val="0.13472542101325916"/>
                    </c:manualLayout>
                  </c15:layout>
                </c:ext>
                <c:ext xmlns:c16="http://schemas.microsoft.com/office/drawing/2014/chart" uri="{C3380CC4-5D6E-409C-BE32-E72D297353CC}">
                  <c16:uniqueId val="{00000005-3E94-40C5-A724-DED51D01031A}"/>
                </c:ext>
              </c:extLst>
            </c:dLbl>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Analysis'!$D$5:$D$8</c:f>
              <c:strCache>
                <c:ptCount val="3"/>
                <c:pt idx="0">
                  <c:v>Basic</c:v>
                </c:pt>
                <c:pt idx="1">
                  <c:v>Premium</c:v>
                </c:pt>
                <c:pt idx="2">
                  <c:v>Standard</c:v>
                </c:pt>
              </c:strCache>
            </c:strRef>
          </c:cat>
          <c:val>
            <c:numRef>
              <c:f>'Pivot Analysis'!$E$5:$E$8</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3E94-40C5-A724-DED51D01031A}"/>
            </c:ext>
          </c:extLst>
        </c:ser>
        <c:ser>
          <c:idx val="0"/>
          <c:order val="1"/>
          <c:tx>
            <c:strRef>
              <c:f>'Pivot Analysis'!$F$4</c:f>
              <c:strCache>
                <c:ptCount val="1"/>
                <c:pt idx="0">
                  <c:v>Count of Transaction_ID</c:v>
                </c:pt>
              </c:strCache>
            </c:strRef>
          </c:tx>
          <c:spPr>
            <a:solidFill>
              <a:schemeClr val="accent4">
                <a:lumMod val="75000"/>
              </a:schemeClr>
            </a:solidFill>
            <a:ln>
              <a:noFill/>
            </a:ln>
          </c:spPr>
          <c:dPt>
            <c:idx val="0"/>
            <c:bubble3D val="0"/>
            <c:spPr>
              <a:solidFill>
                <a:schemeClr val="accent4">
                  <a:lumMod val="40000"/>
                  <a:lumOff val="60000"/>
                </a:schemeClr>
              </a:solidFill>
              <a:ln>
                <a:noFill/>
              </a:ln>
              <a:effectLst/>
            </c:spPr>
            <c:extLst>
              <c:ext xmlns:c16="http://schemas.microsoft.com/office/drawing/2014/chart" uri="{C3380CC4-5D6E-409C-BE32-E72D297353CC}">
                <c16:uniqueId val="{00000008-3E94-40C5-A724-DED51D01031A}"/>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A-3E94-40C5-A724-DED51D01031A}"/>
              </c:ext>
            </c:extLst>
          </c:dPt>
          <c:dPt>
            <c:idx val="2"/>
            <c:bubble3D val="0"/>
            <c:spPr>
              <a:solidFill>
                <a:srgbClr val="A81E6A"/>
              </a:solidFill>
              <a:ln>
                <a:noFill/>
              </a:ln>
              <a:effectLst/>
            </c:spPr>
            <c:extLst>
              <c:ext xmlns:c16="http://schemas.microsoft.com/office/drawing/2014/chart" uri="{C3380CC4-5D6E-409C-BE32-E72D297353CC}">
                <c16:uniqueId val="{0000000C-3E94-40C5-A724-DED51D01031A}"/>
              </c:ext>
            </c:extLst>
          </c:dPt>
          <c:cat>
            <c:strRef>
              <c:f>'Pivot Analysis'!$D$5:$D$8</c:f>
              <c:strCache>
                <c:ptCount val="3"/>
                <c:pt idx="0">
                  <c:v>Basic</c:v>
                </c:pt>
                <c:pt idx="1">
                  <c:v>Premium</c:v>
                </c:pt>
                <c:pt idx="2">
                  <c:v>Standard</c:v>
                </c:pt>
              </c:strCache>
            </c:strRef>
          </c:cat>
          <c:val>
            <c:numRef>
              <c:f>'Pivot Analysis'!$F$5:$F$8</c:f>
              <c:numCache>
                <c:formatCode>General</c:formatCode>
                <c:ptCount val="3"/>
                <c:pt idx="0">
                  <c:v>74</c:v>
                </c:pt>
                <c:pt idx="1">
                  <c:v>95</c:v>
                </c:pt>
                <c:pt idx="2">
                  <c:v>81</c:v>
                </c:pt>
              </c:numCache>
            </c:numRef>
          </c:val>
          <c:extLst>
            <c:ext xmlns:c16="http://schemas.microsoft.com/office/drawing/2014/chart" uri="{C3380CC4-5D6E-409C-BE32-E72D297353CC}">
              <c16:uniqueId val="{0000000D-3E94-40C5-A724-DED51D01031A}"/>
            </c:ext>
          </c:extLst>
        </c:ser>
        <c:dLbls>
          <c:showLegendKey val="0"/>
          <c:showVal val="0"/>
          <c:showCatName val="0"/>
          <c:showSerName val="0"/>
          <c:showPercent val="0"/>
          <c:showBubbleSize val="0"/>
          <c:showLeaderLines val="0"/>
        </c:dLbls>
        <c:firstSliceAng val="10"/>
        <c:holeSize val="55"/>
      </c:doughnutChart>
      <c:spPr>
        <a:noFill/>
        <a:ln>
          <a:noFill/>
        </a:ln>
        <a:effectLst/>
      </c:spPr>
    </c:plotArea>
    <c:legend>
      <c:legendPos val="b"/>
      <c:layout>
        <c:manualLayout>
          <c:xMode val="edge"/>
          <c:yMode val="edge"/>
          <c:x val="0.12137983872321823"/>
          <c:y val="0.87836655051594781"/>
          <c:w val="0.65061972845253513"/>
          <c:h val="9.873782618375931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566057</xdr:colOff>
      <xdr:row>18</xdr:row>
      <xdr:rowOff>32657</xdr:rowOff>
    </xdr:from>
    <xdr:to>
      <xdr:col>16</xdr:col>
      <xdr:colOff>19434</xdr:colOff>
      <xdr:row>36</xdr:row>
      <xdr:rowOff>15658</xdr:rowOff>
    </xdr:to>
    <xdr:graphicFrame macro="">
      <xdr:nvGraphicFramePr>
        <xdr:cNvPr id="21" name="Chart 20">
          <a:extLst>
            <a:ext uri="{FF2B5EF4-FFF2-40B4-BE49-F238E27FC236}">
              <a16:creationId xmlns:a16="http://schemas.microsoft.com/office/drawing/2014/main" id="{9657BF44-9889-4562-B052-EFABA30A5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315686</xdr:colOff>
      <xdr:row>1</xdr:row>
      <xdr:rowOff>76200</xdr:rowOff>
    </xdr:from>
    <xdr:to>
      <xdr:col>17</xdr:col>
      <xdr:colOff>413657</xdr:colOff>
      <xdr:row>17</xdr:row>
      <xdr:rowOff>0</xdr:rowOff>
    </xdr:to>
    <xdr:sp macro="" textlink="">
      <xdr:nvSpPr>
        <xdr:cNvPr id="7" name="TextBox 6">
          <a:extLst>
            <a:ext uri="{FF2B5EF4-FFF2-40B4-BE49-F238E27FC236}">
              <a16:creationId xmlns:a16="http://schemas.microsoft.com/office/drawing/2014/main" id="{50E44F25-1A60-47F7-DFB9-6CF9B27C3AA4}"/>
            </a:ext>
          </a:extLst>
        </xdr:cNvPr>
        <xdr:cNvSpPr txBox="1"/>
      </xdr:nvSpPr>
      <xdr:spPr>
        <a:xfrm>
          <a:off x="11473543" y="576943"/>
          <a:ext cx="4060371" cy="305888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337458</xdr:colOff>
      <xdr:row>1</xdr:row>
      <xdr:rowOff>108858</xdr:rowOff>
    </xdr:from>
    <xdr:to>
      <xdr:col>17</xdr:col>
      <xdr:colOff>381000</xdr:colOff>
      <xdr:row>2</xdr:row>
      <xdr:rowOff>272143</xdr:rowOff>
    </xdr:to>
    <xdr:sp macro="" textlink="">
      <xdr:nvSpPr>
        <xdr:cNvPr id="8" name="TextBox 7">
          <a:extLst>
            <a:ext uri="{FF2B5EF4-FFF2-40B4-BE49-F238E27FC236}">
              <a16:creationId xmlns:a16="http://schemas.microsoft.com/office/drawing/2014/main" id="{7673AB7A-0048-3308-BD09-2E8C97502DBD}"/>
            </a:ext>
          </a:extLst>
        </xdr:cNvPr>
        <xdr:cNvSpPr txBox="1"/>
      </xdr:nvSpPr>
      <xdr:spPr>
        <a:xfrm>
          <a:off x="11495315" y="609601"/>
          <a:ext cx="4005942" cy="348342"/>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 FILTER &amp; SLICERS</a:t>
          </a:r>
        </a:p>
        <a:p>
          <a:endParaRPr lang="en-IN" sz="1100"/>
        </a:p>
      </xdr:txBody>
    </xdr:sp>
    <xdr:clientData/>
  </xdr:twoCellAnchor>
  <xdr:twoCellAnchor>
    <xdr:from>
      <xdr:col>0</xdr:col>
      <xdr:colOff>43543</xdr:colOff>
      <xdr:row>18</xdr:row>
      <xdr:rowOff>43543</xdr:rowOff>
    </xdr:from>
    <xdr:to>
      <xdr:col>3</xdr:col>
      <xdr:colOff>1314561</xdr:colOff>
      <xdr:row>36</xdr:row>
      <xdr:rowOff>77322</xdr:rowOff>
    </xdr:to>
    <xdr:graphicFrame macro="">
      <xdr:nvGraphicFramePr>
        <xdr:cNvPr id="18" name="Chart 17">
          <a:extLst>
            <a:ext uri="{FF2B5EF4-FFF2-40B4-BE49-F238E27FC236}">
              <a16:creationId xmlns:a16="http://schemas.microsoft.com/office/drawing/2014/main" id="{CBF9ACC3-C64C-4658-81B6-3A7FF0766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446315</xdr:colOff>
      <xdr:row>3</xdr:row>
      <xdr:rowOff>1</xdr:rowOff>
    </xdr:from>
    <xdr:to>
      <xdr:col>14</xdr:col>
      <xdr:colOff>43544</xdr:colOff>
      <xdr:row>10</xdr:row>
      <xdr:rowOff>21771</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E277AD1F-D44E-4E71-96F5-883C45F459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604172" y="979715"/>
              <a:ext cx="1828801"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152399</xdr:colOff>
      <xdr:row>3</xdr:row>
      <xdr:rowOff>10886</xdr:rowOff>
    </xdr:from>
    <xdr:to>
      <xdr:col>17</xdr:col>
      <xdr:colOff>250371</xdr:colOff>
      <xdr:row>10</xdr:row>
      <xdr:rowOff>27213</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DD50E241-B5EB-4D10-A485-D16AEAD57C6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3541828" y="990600"/>
              <a:ext cx="1828800" cy="1366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413657</xdr:colOff>
      <xdr:row>10</xdr:row>
      <xdr:rowOff>119742</xdr:rowOff>
    </xdr:from>
    <xdr:to>
      <xdr:col>14</xdr:col>
      <xdr:colOff>10885</xdr:colOff>
      <xdr:row>16</xdr:row>
      <xdr:rowOff>125186</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DBFAB6A0-0074-4A43-9E5A-217505E756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71514" y="2449285"/>
              <a:ext cx="1828800" cy="1126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108856</xdr:colOff>
      <xdr:row>10</xdr:row>
      <xdr:rowOff>76199</xdr:rowOff>
    </xdr:from>
    <xdr:to>
      <xdr:col>17</xdr:col>
      <xdr:colOff>303711</xdr:colOff>
      <xdr:row>16</xdr:row>
      <xdr:rowOff>114299</xdr:rowOff>
    </xdr:to>
    <mc:AlternateContent xmlns:mc="http://schemas.openxmlformats.org/markup-compatibility/2006">
      <mc:Choice xmlns:a14="http://schemas.microsoft.com/office/drawing/2010/main" Requires="a14">
        <xdr:graphicFrame macro="">
          <xdr:nvGraphicFramePr>
            <xdr:cNvPr id="17" name="Customer_Segment">
              <a:extLst>
                <a:ext uri="{FF2B5EF4-FFF2-40B4-BE49-F238E27FC236}">
                  <a16:creationId xmlns:a16="http://schemas.microsoft.com/office/drawing/2014/main" id="{07074494-0556-4AC4-BE0A-3DB31DF1EDE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3498285" y="2405742"/>
              <a:ext cx="1925683" cy="1159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65315</xdr:colOff>
      <xdr:row>18</xdr:row>
      <xdr:rowOff>65315</xdr:rowOff>
    </xdr:from>
    <xdr:to>
      <xdr:col>3</xdr:col>
      <xdr:colOff>1306007</xdr:colOff>
      <xdr:row>20</xdr:row>
      <xdr:rowOff>69698</xdr:rowOff>
    </xdr:to>
    <xdr:sp macro="" textlink="">
      <xdr:nvSpPr>
        <xdr:cNvPr id="19" name="TextBox 18">
          <a:extLst>
            <a:ext uri="{FF2B5EF4-FFF2-40B4-BE49-F238E27FC236}">
              <a16:creationId xmlns:a16="http://schemas.microsoft.com/office/drawing/2014/main" id="{07D47218-E242-4F95-B962-1F63F4064296}"/>
            </a:ext>
          </a:extLst>
        </xdr:cNvPr>
        <xdr:cNvSpPr txBox="1"/>
      </xdr:nvSpPr>
      <xdr:spPr>
        <a:xfrm>
          <a:off x="65315" y="3886201"/>
          <a:ext cx="3842378" cy="374497"/>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REGIONAL</a:t>
          </a:r>
          <a:r>
            <a:rPr lang="en-IN" sz="1600" b="1" baseline="0">
              <a:solidFill>
                <a:schemeClr val="bg1"/>
              </a:solidFill>
            </a:rPr>
            <a:t> REVENUE</a:t>
          </a:r>
        </a:p>
        <a:p>
          <a:endParaRPr lang="en-IN" sz="1600"/>
        </a:p>
      </xdr:txBody>
    </xdr:sp>
    <xdr:clientData/>
  </xdr:twoCellAnchor>
  <xdr:twoCellAnchor>
    <xdr:from>
      <xdr:col>3</xdr:col>
      <xdr:colOff>1426029</xdr:colOff>
      <xdr:row>18</xdr:row>
      <xdr:rowOff>21771</xdr:rowOff>
    </xdr:from>
    <xdr:to>
      <xdr:col>9</xdr:col>
      <xdr:colOff>363221</xdr:colOff>
      <xdr:row>36</xdr:row>
      <xdr:rowOff>70618</xdr:rowOff>
    </xdr:to>
    <xdr:graphicFrame macro="">
      <xdr:nvGraphicFramePr>
        <xdr:cNvPr id="20" name="Chart 19">
          <a:extLst>
            <a:ext uri="{FF2B5EF4-FFF2-40B4-BE49-F238E27FC236}">
              <a16:creationId xmlns:a16="http://schemas.microsoft.com/office/drawing/2014/main" id="{B923C5E4-7EA1-4AD8-A3C2-467C137FB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1447800</xdr:colOff>
      <xdr:row>18</xdr:row>
      <xdr:rowOff>54429</xdr:rowOff>
    </xdr:from>
    <xdr:ext cx="6047992" cy="457200"/>
    <xdr:sp macro="" textlink="">
      <xdr:nvSpPr>
        <xdr:cNvPr id="23" name="TextBox 22">
          <a:extLst>
            <a:ext uri="{FF2B5EF4-FFF2-40B4-BE49-F238E27FC236}">
              <a16:creationId xmlns:a16="http://schemas.microsoft.com/office/drawing/2014/main" id="{CC5F0429-2BBA-41EA-80AC-A57BF38CF957}"/>
            </a:ext>
          </a:extLst>
        </xdr:cNvPr>
        <xdr:cNvSpPr txBox="1"/>
      </xdr:nvSpPr>
      <xdr:spPr>
        <a:xfrm>
          <a:off x="4049486" y="3875315"/>
          <a:ext cx="6047992" cy="457200"/>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PRODUCT REVENUE </a:t>
          </a:r>
          <a:r>
            <a:rPr lang="en-IN" sz="1600" b="1" i="0" baseline="0">
              <a:solidFill>
                <a:schemeClr val="bg1"/>
              </a:solidFill>
              <a:effectLst/>
              <a:latin typeface="+mn-lt"/>
              <a:ea typeface="+mn-ea"/>
              <a:cs typeface="+mn-cs"/>
            </a:rPr>
            <a:t>PERFORMANCE</a:t>
          </a:r>
        </a:p>
        <a:p>
          <a:pPr algn="ctr"/>
          <a:endParaRPr lang="en-IN" sz="1600" b="1">
            <a:solidFill>
              <a:schemeClr val="bg2"/>
            </a:solidFill>
          </a:endParaRPr>
        </a:p>
      </xdr:txBody>
    </xdr:sp>
    <xdr:clientData/>
  </xdr:oneCellAnchor>
  <xdr:twoCellAnchor>
    <xdr:from>
      <xdr:col>9</xdr:col>
      <xdr:colOff>576943</xdr:colOff>
      <xdr:row>18</xdr:row>
      <xdr:rowOff>65315</xdr:rowOff>
    </xdr:from>
    <xdr:to>
      <xdr:col>16</xdr:col>
      <xdr:colOff>9770</xdr:colOff>
      <xdr:row>20</xdr:row>
      <xdr:rowOff>182544</xdr:rowOff>
    </xdr:to>
    <xdr:sp macro="" textlink="">
      <xdr:nvSpPr>
        <xdr:cNvPr id="24" name="TextBox 23">
          <a:extLst>
            <a:ext uri="{FF2B5EF4-FFF2-40B4-BE49-F238E27FC236}">
              <a16:creationId xmlns:a16="http://schemas.microsoft.com/office/drawing/2014/main" id="{90DB8785-AB7B-4116-A333-65F8450B6907}"/>
            </a:ext>
          </a:extLst>
        </xdr:cNvPr>
        <xdr:cNvSpPr txBox="1"/>
      </xdr:nvSpPr>
      <xdr:spPr>
        <a:xfrm>
          <a:off x="10352314" y="3886201"/>
          <a:ext cx="4200770" cy="487343"/>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2"/>
              </a:solidFill>
            </a:rPr>
            <a:t>REVENUE BY CUSTOMER SEGMENT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0.08159</cdr:x>
      <cdr:y>3.00835E-7</cdr:y>
    </cdr:from>
    <cdr:to>
      <cdr:x>0.59703</cdr:x>
      <cdr:y>0.17928</cdr:y>
    </cdr:to>
    <cdr:sp macro="" textlink="">
      <cdr:nvSpPr>
        <cdr:cNvPr id="2" name="TextBox 1">
          <a:extLst xmlns:a="http://schemas.openxmlformats.org/drawingml/2006/main">
            <a:ext uri="{FF2B5EF4-FFF2-40B4-BE49-F238E27FC236}">
              <a16:creationId xmlns:a16="http://schemas.microsoft.com/office/drawing/2014/main" id="{94027532-8113-704B-5B95-42F47AC2DDBF}"/>
            </a:ext>
          </a:extLst>
        </cdr:cNvPr>
        <cdr:cNvSpPr txBox="1"/>
      </cdr:nvSpPr>
      <cdr:spPr>
        <a:xfrm xmlns:a="http://schemas.openxmlformats.org/drawingml/2006/main">
          <a:off x="340227" y="1"/>
          <a:ext cx="2149231" cy="5959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9</xdr:col>
      <xdr:colOff>276329</xdr:colOff>
      <xdr:row>1</xdr:row>
      <xdr:rowOff>192593</xdr:rowOff>
    </xdr:from>
    <xdr:to>
      <xdr:col>15</xdr:col>
      <xdr:colOff>0</xdr:colOff>
      <xdr:row>1</xdr:row>
      <xdr:rowOff>485670</xdr:rowOff>
    </xdr:to>
    <xdr:sp macro="" textlink="">
      <xdr:nvSpPr>
        <xdr:cNvPr id="2" name="TextBox 1">
          <a:extLst>
            <a:ext uri="{FF2B5EF4-FFF2-40B4-BE49-F238E27FC236}">
              <a16:creationId xmlns:a16="http://schemas.microsoft.com/office/drawing/2014/main" id="{65A2498B-D599-F7D8-EFC1-B0829DA6BD63}"/>
            </a:ext>
          </a:extLst>
        </xdr:cNvPr>
        <xdr:cNvSpPr txBox="1"/>
      </xdr:nvSpPr>
      <xdr:spPr>
        <a:xfrm>
          <a:off x="5777802" y="376813"/>
          <a:ext cx="3391319" cy="293077"/>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Interactive Sales &amp; Customer Intelligence Dashboard</a:t>
          </a:r>
        </a:p>
      </xdr:txBody>
    </xdr:sp>
    <xdr:clientData/>
  </xdr:twoCellAnchor>
  <xdr:twoCellAnchor>
    <xdr:from>
      <xdr:col>0</xdr:col>
      <xdr:colOff>0</xdr:colOff>
      <xdr:row>2</xdr:row>
      <xdr:rowOff>117232</xdr:rowOff>
    </xdr:from>
    <xdr:to>
      <xdr:col>23</xdr:col>
      <xdr:colOff>611273</xdr:colOff>
      <xdr:row>3</xdr:row>
      <xdr:rowOff>167472</xdr:rowOff>
    </xdr:to>
    <xdr:sp macro="" textlink="">
      <xdr:nvSpPr>
        <xdr:cNvPr id="3" name="TextBox 2">
          <a:extLst>
            <a:ext uri="{FF2B5EF4-FFF2-40B4-BE49-F238E27FC236}">
              <a16:creationId xmlns:a16="http://schemas.microsoft.com/office/drawing/2014/main" id="{9E87117E-822B-3713-982B-9678E90049C1}"/>
            </a:ext>
          </a:extLst>
        </xdr:cNvPr>
        <xdr:cNvSpPr txBox="1"/>
      </xdr:nvSpPr>
      <xdr:spPr>
        <a:xfrm>
          <a:off x="0" y="854111"/>
          <a:ext cx="14670592" cy="234460"/>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rPr>
            <a:t>🔹 KEY PERFORMANCE INDICATORS</a:t>
          </a:r>
        </a:p>
      </xdr:txBody>
    </xdr:sp>
    <xdr:clientData/>
  </xdr:twoCellAnchor>
  <xdr:twoCellAnchor editAs="oneCell">
    <xdr:from>
      <xdr:col>0</xdr:col>
      <xdr:colOff>123264</xdr:colOff>
      <xdr:row>9</xdr:row>
      <xdr:rowOff>100855</xdr:rowOff>
    </xdr:from>
    <xdr:to>
      <xdr:col>2</xdr:col>
      <xdr:colOff>392206</xdr:colOff>
      <xdr:row>18</xdr:row>
      <xdr:rowOff>100854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98EA3589-F918-4143-96DD-012D1BFA96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264" y="2263590"/>
              <a:ext cx="1479177" cy="1613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515471</xdr:colOff>
      <xdr:row>9</xdr:row>
      <xdr:rowOff>134469</xdr:rowOff>
    </xdr:from>
    <xdr:to>
      <xdr:col>6</xdr:col>
      <xdr:colOff>383241</xdr:colOff>
      <xdr:row>18</xdr:row>
      <xdr:rowOff>11206</xdr:rowOff>
    </xdr:to>
    <mc:AlternateContent xmlns:mc="http://schemas.openxmlformats.org/markup-compatibility/2006">
      <mc:Choice xmlns:a14="http://schemas.microsoft.com/office/drawing/2010/main" Requires="a14">
        <xdr:graphicFrame macro="">
          <xdr:nvGraphicFramePr>
            <xdr:cNvPr id="5" name="Payment_Method 1">
              <a:extLst>
                <a:ext uri="{FF2B5EF4-FFF2-40B4-BE49-F238E27FC236}">
                  <a16:creationId xmlns:a16="http://schemas.microsoft.com/office/drawing/2014/main" id="{8719DCA9-D481-4A55-9B2E-63028D5DCA69}"/>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725706" y="2297204"/>
              <a:ext cx="1828800" cy="1490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526676</xdr:colOff>
      <xdr:row>9</xdr:row>
      <xdr:rowOff>145676</xdr:rowOff>
    </xdr:from>
    <xdr:to>
      <xdr:col>10</xdr:col>
      <xdr:colOff>304800</xdr:colOff>
      <xdr:row>18</xdr:row>
      <xdr:rowOff>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F481EB43-4AE6-4ADB-874B-9BD7F94B29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697941" y="2308411"/>
              <a:ext cx="1828800" cy="1467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403412</xdr:colOff>
      <xdr:row>9</xdr:row>
      <xdr:rowOff>134470</xdr:rowOff>
    </xdr:from>
    <xdr:to>
      <xdr:col>13</xdr:col>
      <xdr:colOff>513742</xdr:colOff>
      <xdr:row>18</xdr:row>
      <xdr:rowOff>33618</xdr:rowOff>
    </xdr:to>
    <mc:AlternateContent xmlns:mc="http://schemas.openxmlformats.org/markup-compatibility/2006">
      <mc:Choice xmlns:a14="http://schemas.microsoft.com/office/drawing/2010/main" Requires="a14">
        <xdr:graphicFrame macro="">
          <xdr:nvGraphicFramePr>
            <xdr:cNvPr id="7" name="Customer_Segment 1">
              <a:extLst>
                <a:ext uri="{FF2B5EF4-FFF2-40B4-BE49-F238E27FC236}">
                  <a16:creationId xmlns:a16="http://schemas.microsoft.com/office/drawing/2014/main" id="{1B56A136-186E-478F-94E5-79889C13D7EA}"/>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5625353" y="2297205"/>
              <a:ext cx="1925683" cy="1512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112058</xdr:colOff>
      <xdr:row>19</xdr:row>
      <xdr:rowOff>11207</xdr:rowOff>
    </xdr:from>
    <xdr:to>
      <xdr:col>7</xdr:col>
      <xdr:colOff>208380</xdr:colOff>
      <xdr:row>37</xdr:row>
      <xdr:rowOff>148719</xdr:rowOff>
    </xdr:to>
    <xdr:graphicFrame macro="">
      <xdr:nvGraphicFramePr>
        <xdr:cNvPr id="8" name="Chart 7">
          <a:extLst>
            <a:ext uri="{FF2B5EF4-FFF2-40B4-BE49-F238E27FC236}">
              <a16:creationId xmlns:a16="http://schemas.microsoft.com/office/drawing/2014/main" id="{E64428A0-B2D8-40B4-968E-D2C124696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134471</xdr:colOff>
      <xdr:row>19</xdr:row>
      <xdr:rowOff>22413</xdr:rowOff>
    </xdr:from>
    <xdr:to>
      <xdr:col>7</xdr:col>
      <xdr:colOff>200467</xdr:colOff>
      <xdr:row>21</xdr:row>
      <xdr:rowOff>38321</xdr:rowOff>
    </xdr:to>
    <xdr:sp macro="" textlink="">
      <xdr:nvSpPr>
        <xdr:cNvPr id="9" name="TextBox 8">
          <a:extLst>
            <a:ext uri="{FF2B5EF4-FFF2-40B4-BE49-F238E27FC236}">
              <a16:creationId xmlns:a16="http://schemas.microsoft.com/office/drawing/2014/main" id="{E17170CF-96C5-42B2-8BDD-5F7600324E37}"/>
            </a:ext>
          </a:extLst>
        </xdr:cNvPr>
        <xdr:cNvSpPr txBox="1"/>
      </xdr:nvSpPr>
      <xdr:spPr>
        <a:xfrm>
          <a:off x="134471" y="3978089"/>
          <a:ext cx="3842378" cy="374497"/>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 Regional Revenue</a:t>
          </a:r>
        </a:p>
      </xdr:txBody>
    </xdr:sp>
    <xdr:clientData/>
  </xdr:twoCellAnchor>
  <xdr:twoCellAnchor>
    <xdr:from>
      <xdr:col>7</xdr:col>
      <xdr:colOff>336177</xdr:colOff>
      <xdr:row>19</xdr:row>
      <xdr:rowOff>1</xdr:rowOff>
    </xdr:from>
    <xdr:to>
      <xdr:col>20</xdr:col>
      <xdr:colOff>59701</xdr:colOff>
      <xdr:row>37</xdr:row>
      <xdr:rowOff>152581</xdr:rowOff>
    </xdr:to>
    <xdr:graphicFrame macro="">
      <xdr:nvGraphicFramePr>
        <xdr:cNvPr id="10" name="Chart 9">
          <a:extLst>
            <a:ext uri="{FF2B5EF4-FFF2-40B4-BE49-F238E27FC236}">
              <a16:creationId xmlns:a16="http://schemas.microsoft.com/office/drawing/2014/main" id="{1A0160B7-6053-48DE-B389-9047CFD7F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201708</xdr:colOff>
      <xdr:row>18</xdr:row>
      <xdr:rowOff>156884</xdr:rowOff>
    </xdr:from>
    <xdr:to>
      <xdr:col>24</xdr:col>
      <xdr:colOff>78441</xdr:colOff>
      <xdr:row>37</xdr:row>
      <xdr:rowOff>145675</xdr:rowOff>
    </xdr:to>
    <xdr:graphicFrame macro="">
      <xdr:nvGraphicFramePr>
        <xdr:cNvPr id="14" name="Chart 13">
          <a:extLst>
            <a:ext uri="{FF2B5EF4-FFF2-40B4-BE49-F238E27FC236}">
              <a16:creationId xmlns:a16="http://schemas.microsoft.com/office/drawing/2014/main" id="{8A79FE78-DAC4-4BEB-B13B-4B6B94625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369794</xdr:colOff>
      <xdr:row>19</xdr:row>
      <xdr:rowOff>22412</xdr:rowOff>
    </xdr:from>
    <xdr:ext cx="6047992" cy="457200"/>
    <xdr:sp macro="" textlink="">
      <xdr:nvSpPr>
        <xdr:cNvPr id="15" name="TextBox 14">
          <a:extLst>
            <a:ext uri="{FF2B5EF4-FFF2-40B4-BE49-F238E27FC236}">
              <a16:creationId xmlns:a16="http://schemas.microsoft.com/office/drawing/2014/main" id="{B81E97E6-BC01-47B6-A91D-78393B9F44E4}"/>
            </a:ext>
          </a:extLst>
        </xdr:cNvPr>
        <xdr:cNvSpPr txBox="1"/>
      </xdr:nvSpPr>
      <xdr:spPr>
        <a:xfrm>
          <a:off x="4146176" y="3978088"/>
          <a:ext cx="6047992" cy="457200"/>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600" b="1">
              <a:solidFill>
                <a:schemeClr val="bg2"/>
              </a:solidFill>
            </a:rPr>
            <a:t>📦 Product Revenue Performance</a:t>
          </a:r>
        </a:p>
      </xdr:txBody>
    </xdr:sp>
    <xdr:clientData/>
  </xdr:oneCellAnchor>
  <xdr:twoCellAnchor>
    <xdr:from>
      <xdr:col>20</xdr:col>
      <xdr:colOff>222683</xdr:colOff>
      <xdr:row>19</xdr:row>
      <xdr:rowOff>16695</xdr:rowOff>
    </xdr:from>
    <xdr:to>
      <xdr:col>24</xdr:col>
      <xdr:colOff>44823</xdr:colOff>
      <xdr:row>23</xdr:row>
      <xdr:rowOff>0</xdr:rowOff>
    </xdr:to>
    <xdr:sp macro="" textlink="">
      <xdr:nvSpPr>
        <xdr:cNvPr id="16" name="TextBox 15">
          <a:extLst>
            <a:ext uri="{FF2B5EF4-FFF2-40B4-BE49-F238E27FC236}">
              <a16:creationId xmlns:a16="http://schemas.microsoft.com/office/drawing/2014/main" id="{BADC8AFE-A36C-446C-BE32-0152FB9C3735}"/>
            </a:ext>
          </a:extLst>
        </xdr:cNvPr>
        <xdr:cNvSpPr txBox="1"/>
      </xdr:nvSpPr>
      <xdr:spPr>
        <a:xfrm>
          <a:off x="10386418" y="3972371"/>
          <a:ext cx="2242611" cy="700482"/>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2"/>
              </a:solidFill>
            </a:rPr>
            <a:t>👥 Revenue by Customer Segment</a:t>
          </a:r>
        </a:p>
      </xdr:txBody>
    </xdr:sp>
    <xdr:clientData/>
  </xdr:twoCellAnchor>
  <xdr:twoCellAnchor>
    <xdr:from>
      <xdr:col>15</xdr:col>
      <xdr:colOff>44823</xdr:colOff>
      <xdr:row>9</xdr:row>
      <xdr:rowOff>78441</xdr:rowOff>
    </xdr:from>
    <xdr:to>
      <xdr:col>24</xdr:col>
      <xdr:colOff>44823</xdr:colOff>
      <xdr:row>18</xdr:row>
      <xdr:rowOff>89647</xdr:rowOff>
    </xdr:to>
    <xdr:sp macro="" textlink="">
      <xdr:nvSpPr>
        <xdr:cNvPr id="17" name="TextBox 16">
          <a:extLst>
            <a:ext uri="{FF2B5EF4-FFF2-40B4-BE49-F238E27FC236}">
              <a16:creationId xmlns:a16="http://schemas.microsoft.com/office/drawing/2014/main" id="{42BB9260-63DC-BC6F-F2FC-DBCC0C72E8DE}"/>
            </a:ext>
          </a:extLst>
        </xdr:cNvPr>
        <xdr:cNvSpPr txBox="1"/>
      </xdr:nvSpPr>
      <xdr:spPr>
        <a:xfrm>
          <a:off x="7866529" y="2241176"/>
          <a:ext cx="4762500" cy="1624853"/>
        </a:xfrm>
        <a:prstGeom prst="rect">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1">
              <a:solidFill>
                <a:schemeClr val="accent4">
                  <a:lumMod val="50000"/>
                </a:schemeClr>
              </a:solidFill>
            </a:rPr>
            <a:t>1. East region generates the highest revenue.</a:t>
          </a:r>
        </a:p>
        <a:p>
          <a:r>
            <a:rPr lang="en-IN" sz="1400" b="1">
              <a:solidFill>
                <a:schemeClr val="accent4">
                  <a:lumMod val="50000"/>
                </a:schemeClr>
              </a:solidFill>
            </a:rPr>
            <a:t>2. Smartphone and Laptop are the top revenue-generating products.</a:t>
          </a:r>
        </a:p>
        <a:p>
          <a:r>
            <a:rPr lang="en-IN" sz="1400" b="1">
              <a:solidFill>
                <a:schemeClr val="accent4">
                  <a:lumMod val="50000"/>
                </a:schemeClr>
              </a:solidFill>
            </a:rPr>
            <a:t>3. Premium customers contribute the highest segment revenue.</a:t>
          </a:r>
        </a:p>
        <a:p>
          <a:r>
            <a:rPr lang="en-IN" sz="1400" b="1">
              <a:solidFill>
                <a:schemeClr val="accent4">
                  <a:lumMod val="50000"/>
                </a:schemeClr>
              </a:solidFill>
            </a:rPr>
            <a:t>4. Total revenue is ₹2,29,192.47.</a:t>
          </a:r>
        </a:p>
        <a:p>
          <a:r>
            <a:rPr lang="en-IN" sz="1400" b="1">
              <a:solidFill>
                <a:schemeClr val="accent4">
                  <a:lumMod val="50000"/>
                </a:schemeClr>
              </a:solidFill>
            </a:rPr>
            <a:t>5. 250 transactions were recorded.</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0.08159</cdr:x>
      <cdr:y>3.00835E-7</cdr:y>
    </cdr:from>
    <cdr:to>
      <cdr:x>0.59703</cdr:x>
      <cdr:y>0.17928</cdr:y>
    </cdr:to>
    <cdr:sp macro="" textlink="">
      <cdr:nvSpPr>
        <cdr:cNvPr id="2" name="TextBox 1">
          <a:extLst xmlns:a="http://schemas.openxmlformats.org/drawingml/2006/main">
            <a:ext uri="{FF2B5EF4-FFF2-40B4-BE49-F238E27FC236}">
              <a16:creationId xmlns:a16="http://schemas.microsoft.com/office/drawing/2014/main" id="{94027532-8113-704B-5B95-42F47AC2DDBF}"/>
            </a:ext>
          </a:extLst>
        </cdr:cNvPr>
        <cdr:cNvSpPr txBox="1"/>
      </cdr:nvSpPr>
      <cdr:spPr>
        <a:xfrm xmlns:a="http://schemas.openxmlformats.org/drawingml/2006/main">
          <a:off x="340227" y="1"/>
          <a:ext cx="2149231" cy="5959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qra Rangrej" refreshedDate="46301.965120023146" createdVersion="8" refreshedVersion="8" minRefreshableVersion="3" recordCount="250" xr:uid="{D1C7757C-A80F-421F-A27A-0EC1F58A1D2D}">
  <cacheSource type="worksheet">
    <worksheetSource name="Sales_Data"/>
  </cacheSource>
  <cacheFields count="22">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166">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6">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Timestamp" numFmtId="164">
      <sharedItems containsSemiMixedTypes="0" containsNonDate="0" containsDate="1" containsString="0" minDate="2026-10-06T14:43:47" maxDate="2026-10-06T14:43:47"/>
    </cacheField>
    <cacheField name="Today's Date" numFmtId="14">
      <sharedItems containsSemiMixedTypes="0" containsNonDate="0" containsDate="1" containsString="0" minDate="2026-10-06T00:00:00" maxDate="2026-10-07T00:00:00"/>
    </cacheField>
    <cacheField name="Customer Tenure" numFmtId="1">
      <sharedItems containsSemiMixedTypes="0" containsString="0" containsNumber="1" containsInteger="1" minValue="36" maxValue="1299"/>
    </cacheField>
    <cacheField name="Month End" numFmtId="165">
      <sharedItems containsSemiMixedTypes="0" containsNonDate="0" containsDate="1" containsString="0" minDate="2024-04-30T00:00:00" maxDate="2025-05-01T00:00:00"/>
    </cacheField>
    <cacheField name="Month" numFmtId="0">
      <sharedItems/>
    </cacheField>
    <cacheField name="Product Frequency" numFmtId="0">
      <sharedItems containsSemiMixedTypes="0" containsString="0" containsNumber="1" containsInteger="1" minValue="14" maxValue="35"/>
    </cacheField>
    <cacheField name="Customer Frequency" numFmtId="0">
      <sharedItems containsSemiMixedTypes="0" containsString="0" containsNumber="1" containsInteger="1" minValue="1" maxValue="12"/>
    </cacheField>
    <cacheField name="Customer Abbreviation" numFmtId="0">
      <sharedItems/>
    </cacheField>
  </cacheFields>
  <extLst>
    <ext xmlns:x14="http://schemas.microsoft.com/office/spreadsheetml/2009/9/main" uri="{725AE2AE-9491-48be-B2B4-4EB974FC3084}">
      <x14:pivotCacheDefinition pivotCacheId="1358774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x v="0"/>
    <n v="3"/>
    <n v="249.99"/>
    <x v="0"/>
    <x v="0"/>
    <x v="0"/>
    <d v="2021-08-17T00:00:00"/>
    <x v="0"/>
    <d v="2026-10-06T14:43:47"/>
    <d v="2026-10-06T00:00:00"/>
    <n v="968"/>
    <d v="2024-04-30T00:00:00"/>
    <s v="Apr-24"/>
    <n v="26"/>
    <n v="8"/>
    <s v="PB"/>
  </r>
  <r>
    <s v="TRX0023"/>
    <d v="2024-04-14T00:00:00"/>
    <s v="CUST013"/>
    <s v="Joseph Jackson"/>
    <s v="P009"/>
    <x v="0"/>
    <x v="0"/>
    <n v="3"/>
    <n v="249.99"/>
    <x v="1"/>
    <x v="0"/>
    <x v="1"/>
    <d v="2022-01-14T00:00:00"/>
    <x v="0"/>
    <d v="2026-10-06T14:43:47"/>
    <d v="2026-10-06T00:00:00"/>
    <n v="821"/>
    <d v="2024-04-30T00:00:00"/>
    <s v="Apr-24"/>
    <n v="26"/>
    <n v="5"/>
    <s v="JJ"/>
  </r>
  <r>
    <s v="TRX0139"/>
    <d v="2024-04-17T00:00:00"/>
    <s v="CUST021"/>
    <s v="Kevin Scott"/>
    <s v="P005"/>
    <x v="1"/>
    <x v="1"/>
    <n v="3"/>
    <n v="59.99"/>
    <x v="2"/>
    <x v="1"/>
    <x v="2"/>
    <d v="2023-12-02T00:00:00"/>
    <x v="1"/>
    <d v="2026-10-06T14:43:47"/>
    <d v="2026-10-06T00:00:00"/>
    <n v="137"/>
    <d v="2024-04-30T00:00:00"/>
    <s v="Apr-24"/>
    <n v="29"/>
    <n v="6"/>
    <s v="KS"/>
  </r>
  <r>
    <s v="TRX0043"/>
    <d v="2024-04-18T00:00:00"/>
    <s v="CUST046"/>
    <s v="Kathleen Bennett"/>
    <s v="P005"/>
    <x v="1"/>
    <x v="1"/>
    <n v="3"/>
    <n v="59.99"/>
    <x v="0"/>
    <x v="2"/>
    <x v="1"/>
    <d v="2023-07-07T00:00:00"/>
    <x v="1"/>
    <d v="2026-10-06T14:43:47"/>
    <d v="2026-10-06T00:00:00"/>
    <n v="286"/>
    <d v="2024-04-30T00:00:00"/>
    <s v="Apr-24"/>
    <n v="29"/>
    <n v="6"/>
    <s v="KB"/>
  </r>
  <r>
    <s v="TRX0212"/>
    <d v="2024-04-18T00:00:00"/>
    <s v="CUST003"/>
    <s v="Michael Brown"/>
    <s v="P008"/>
    <x v="2"/>
    <x v="2"/>
    <n v="5"/>
    <n v="149.99"/>
    <x v="1"/>
    <x v="2"/>
    <x v="1"/>
    <d v="2024-01-04T00:00:00"/>
    <x v="2"/>
    <d v="2026-10-06T14:43:47"/>
    <d v="2026-10-06T00:00:00"/>
    <n v="105"/>
    <d v="2024-04-30T00:00:00"/>
    <s v="Apr-24"/>
    <n v="35"/>
    <n v="9"/>
    <s v="MB"/>
  </r>
  <r>
    <s v="TRX0092"/>
    <d v="2024-04-21T00:00:00"/>
    <s v="CUST024"/>
    <s v="Dorothy Nelson"/>
    <s v="P005"/>
    <x v="1"/>
    <x v="1"/>
    <n v="2"/>
    <n v="59.99"/>
    <x v="0"/>
    <x v="3"/>
    <x v="2"/>
    <d v="2022-07-04T00:00:00"/>
    <x v="3"/>
    <d v="2026-10-06T14:43:47"/>
    <d v="2026-10-06T00:00:00"/>
    <n v="657"/>
    <d v="2024-04-30T00:00:00"/>
    <s v="Apr-24"/>
    <n v="29"/>
    <n v="6"/>
    <s v="DN"/>
  </r>
  <r>
    <s v="TRX0193"/>
    <d v="2024-04-21T00:00:00"/>
    <s v="CUST024"/>
    <s v="Dorothy Nelson"/>
    <s v="P003"/>
    <x v="3"/>
    <x v="0"/>
    <n v="5"/>
    <n v="149.99"/>
    <x v="1"/>
    <x v="0"/>
    <x v="2"/>
    <d v="2021-08-10T00:00:00"/>
    <x v="2"/>
    <d v="2026-10-06T14:43:47"/>
    <d v="2026-10-06T00:00:00"/>
    <n v="985"/>
    <d v="2024-04-30T00:00:00"/>
    <s v="Apr-24"/>
    <n v="16"/>
    <n v="6"/>
    <s v="DN"/>
  </r>
  <r>
    <s v="TRX0240"/>
    <d v="2024-04-21T00:00:00"/>
    <s v="CUST017"/>
    <s v="Charles Allen"/>
    <s v="P005"/>
    <x v="1"/>
    <x v="1"/>
    <n v="3"/>
    <n v="59.99"/>
    <x v="3"/>
    <x v="1"/>
    <x v="0"/>
    <d v="2023-03-22T00:00:00"/>
    <x v="1"/>
    <d v="2026-10-06T14:43:47"/>
    <d v="2026-10-06T00:00:00"/>
    <n v="396"/>
    <d v="2024-04-30T00:00:00"/>
    <s v="Apr-24"/>
    <n v="29"/>
    <n v="9"/>
    <s v="CA"/>
  </r>
  <r>
    <s v="TRX0135"/>
    <d v="2024-04-23T00:00:00"/>
    <s v="CUST009"/>
    <s v="Robert Thomas"/>
    <s v="P001"/>
    <x v="4"/>
    <x v="0"/>
    <n v="3"/>
    <n v="899.99"/>
    <x v="2"/>
    <x v="4"/>
    <x v="2"/>
    <d v="2024-01-08T00:00:00"/>
    <x v="4"/>
    <d v="2026-10-06T14:43:47"/>
    <d v="2026-10-06T00:00:00"/>
    <n v="106"/>
    <d v="2024-04-30T00:00:00"/>
    <s v="Apr-24"/>
    <n v="24"/>
    <n v="5"/>
    <s v="RT"/>
  </r>
  <r>
    <s v="TRX0185"/>
    <d v="2024-04-26T00:00:00"/>
    <s v="CUST026"/>
    <s v="Karen Hill"/>
    <s v="P005"/>
    <x v="1"/>
    <x v="1"/>
    <n v="3"/>
    <n v="59.99"/>
    <x v="0"/>
    <x v="3"/>
    <x v="1"/>
    <d v="2023-10-08T00:00:00"/>
    <x v="1"/>
    <d v="2026-10-06T14:43:47"/>
    <d v="2026-10-06T00:00:00"/>
    <n v="201"/>
    <d v="2024-04-30T00:00:00"/>
    <s v="Apr-24"/>
    <n v="29"/>
    <n v="8"/>
    <s v="KH"/>
  </r>
  <r>
    <s v="TRX0138"/>
    <d v="2024-04-26T00:00:00"/>
    <s v="CUST022"/>
    <s v="Susan Green"/>
    <s v="P008"/>
    <x v="2"/>
    <x v="2"/>
    <n v="1"/>
    <n v="149.99"/>
    <x v="1"/>
    <x v="3"/>
    <x v="2"/>
    <d v="2023-06-26T00:00:00"/>
    <x v="5"/>
    <d v="2026-10-06T14:43:47"/>
    <d v="2026-10-06T00:00:00"/>
    <n v="305"/>
    <d v="2024-04-30T00:00:00"/>
    <s v="Apr-24"/>
    <n v="35"/>
    <n v="4"/>
    <s v="SG"/>
  </r>
  <r>
    <s v="TRX0209"/>
    <d v="2024-04-26T00:00:00"/>
    <s v="CUST046"/>
    <s v="Kathleen Bennett"/>
    <s v="P008"/>
    <x v="2"/>
    <x v="2"/>
    <n v="5"/>
    <n v="149.99"/>
    <x v="3"/>
    <x v="2"/>
    <x v="0"/>
    <d v="2022-09-26T00:00:00"/>
    <x v="2"/>
    <d v="2026-10-06T14:43:47"/>
    <d v="2026-10-06T00:00:00"/>
    <n v="578"/>
    <d v="2024-04-30T00:00:00"/>
    <s v="Apr-24"/>
    <n v="35"/>
    <n v="6"/>
    <s v="KB"/>
  </r>
  <r>
    <s v="TRX0246"/>
    <d v="2024-04-26T00:00:00"/>
    <s v="CUST041"/>
    <s v="Peter Richardson"/>
    <s v="P008"/>
    <x v="2"/>
    <x v="2"/>
    <n v="3"/>
    <n v="149.99"/>
    <x v="0"/>
    <x v="2"/>
    <x v="1"/>
    <d v="2022-09-02T00:00:00"/>
    <x v="6"/>
    <d v="2026-10-06T14:43:47"/>
    <d v="2026-10-06T00:00:00"/>
    <n v="602"/>
    <d v="2024-04-30T00:00:00"/>
    <s v="Apr-24"/>
    <n v="35"/>
    <n v="5"/>
    <s v="PR"/>
  </r>
  <r>
    <s v="TRX0067"/>
    <d v="2024-04-27T00:00:00"/>
    <s v="CUST043"/>
    <s v="Dennis Gray"/>
    <s v="P005"/>
    <x v="1"/>
    <x v="1"/>
    <n v="3"/>
    <n v="59.99"/>
    <x v="1"/>
    <x v="2"/>
    <x v="2"/>
    <d v="2024-02-29T00:00:00"/>
    <x v="1"/>
    <d v="2026-10-06T14:43:47"/>
    <d v="2026-10-06T00:00:00"/>
    <n v="58"/>
    <d v="2024-04-30T00:00:00"/>
    <s v="Apr-24"/>
    <n v="29"/>
    <n v="2"/>
    <s v="DG"/>
  </r>
  <r>
    <s v="TRX0191"/>
    <d v="2024-04-27T00:00:00"/>
    <s v="CUST038"/>
    <s v="Michelle Rogers"/>
    <s v="P002"/>
    <x v="5"/>
    <x v="0"/>
    <n v="3"/>
    <n v="699.99"/>
    <x v="1"/>
    <x v="3"/>
    <x v="0"/>
    <d v="2022-01-16T00:00:00"/>
    <x v="7"/>
    <d v="2026-10-06T14:43:47"/>
    <d v="2026-10-06T00:00:00"/>
    <n v="832"/>
    <d v="2024-04-30T00:00:00"/>
    <s v="Apr-24"/>
    <n v="31"/>
    <n v="2"/>
    <s v="MR"/>
  </r>
  <r>
    <s v="TRX0230"/>
    <d v="2024-04-27T00:00:00"/>
    <s v="CUST027"/>
    <s v="George Adams"/>
    <s v="P001"/>
    <x v="4"/>
    <x v="0"/>
    <n v="1"/>
    <n v="899.99"/>
    <x v="3"/>
    <x v="2"/>
    <x v="2"/>
    <d v="2022-12-25T00:00:00"/>
    <x v="8"/>
    <d v="2026-10-06T14:43:47"/>
    <d v="2026-10-06T00:00:00"/>
    <n v="489"/>
    <d v="2024-04-30T00:00:00"/>
    <s v="Apr-24"/>
    <n v="24"/>
    <n v="3"/>
    <s v="GA"/>
  </r>
  <r>
    <s v="TRX0049"/>
    <d v="2024-04-28T00:00:00"/>
    <s v="CUST025"/>
    <s v="Mark Carter"/>
    <s v="P008"/>
    <x v="2"/>
    <x v="2"/>
    <n v="4"/>
    <n v="149.99"/>
    <x v="3"/>
    <x v="2"/>
    <x v="1"/>
    <d v="2024-03-23T00:00:00"/>
    <x v="9"/>
    <d v="2026-10-06T14:43:47"/>
    <d v="2026-10-06T00:00:00"/>
    <n v="36"/>
    <d v="2024-04-30T00:00:00"/>
    <s v="Apr-24"/>
    <n v="35"/>
    <n v="12"/>
    <s v="MC"/>
  </r>
  <r>
    <s v="TRX0134"/>
    <d v="2024-04-28T00:00:00"/>
    <s v="CUST010"/>
    <s v="Maria Garcia"/>
    <s v="P002"/>
    <x v="5"/>
    <x v="0"/>
    <n v="2"/>
    <n v="699.99"/>
    <x v="0"/>
    <x v="2"/>
    <x v="0"/>
    <d v="2022-08-08T00:00:00"/>
    <x v="10"/>
    <d v="2026-10-06T14:43:47"/>
    <d v="2026-10-06T00:00:00"/>
    <n v="629"/>
    <d v="2024-04-30T00:00:00"/>
    <s v="Apr-24"/>
    <n v="31"/>
    <n v="4"/>
    <s v="MG"/>
  </r>
  <r>
    <s v="TRX0122"/>
    <d v="2024-04-28T00:00:00"/>
    <s v="CUST025"/>
    <s v="Mark Carter"/>
    <s v="P001"/>
    <x v="4"/>
    <x v="0"/>
    <n v="4"/>
    <n v="899.99"/>
    <x v="1"/>
    <x v="3"/>
    <x v="2"/>
    <d v="2024-02-05T00:00:00"/>
    <x v="11"/>
    <d v="2026-10-06T14:43:47"/>
    <d v="2026-10-06T00:00:00"/>
    <n v="83"/>
    <d v="2024-04-30T00:00:00"/>
    <s v="Apr-24"/>
    <n v="24"/>
    <n v="12"/>
    <s v="MC"/>
  </r>
  <r>
    <s v="TRX0222"/>
    <d v="2024-04-28T00:00:00"/>
    <s v="CUST048"/>
    <s v="Virginia Sanders"/>
    <s v="P009"/>
    <x v="0"/>
    <x v="0"/>
    <n v="3"/>
    <n v="249.99"/>
    <x v="1"/>
    <x v="2"/>
    <x v="1"/>
    <d v="2023-10-25T00:00:00"/>
    <x v="0"/>
    <d v="2026-10-06T14:43:47"/>
    <d v="2026-10-06T00:00:00"/>
    <n v="186"/>
    <d v="2024-04-30T00:00:00"/>
    <s v="Apr-24"/>
    <n v="26"/>
    <n v="6"/>
    <s v="VS"/>
  </r>
  <r>
    <s v="TRX0231"/>
    <d v="2024-04-30T00:00:00"/>
    <s v="CUST018"/>
    <s v="Barbara Young"/>
    <s v="P002"/>
    <x v="5"/>
    <x v="0"/>
    <n v="5"/>
    <n v="699.99"/>
    <x v="0"/>
    <x v="3"/>
    <x v="0"/>
    <d v="2023-08-29T00:00:00"/>
    <x v="12"/>
    <d v="2026-10-06T14:43:47"/>
    <d v="2026-10-06T00:00:00"/>
    <n v="245"/>
    <d v="2024-04-30T00:00:00"/>
    <s v="Apr-24"/>
    <n v="31"/>
    <n v="5"/>
    <s v="BY"/>
  </r>
  <r>
    <s v="TRX0239"/>
    <d v="2024-05-01T00:00:00"/>
    <s v="CUST012"/>
    <s v="Patricia Moore"/>
    <s v="P002"/>
    <x v="5"/>
    <x v="0"/>
    <n v="4"/>
    <n v="699.99"/>
    <x v="0"/>
    <x v="4"/>
    <x v="2"/>
    <d v="2021-08-01T00:00:00"/>
    <x v="13"/>
    <d v="2026-10-06T14:43:47"/>
    <d v="2026-10-06T00:00:00"/>
    <n v="1004"/>
    <d v="2024-05-31T00:00:00"/>
    <s v="May-24"/>
    <n v="31"/>
    <n v="8"/>
    <s v="PM"/>
  </r>
  <r>
    <s v="TRX0204"/>
    <d v="2024-05-03T00:00:00"/>
    <s v="CUST044"/>
    <s v="Cynthia Price"/>
    <s v="P009"/>
    <x v="0"/>
    <x v="0"/>
    <n v="4"/>
    <n v="249.99"/>
    <x v="2"/>
    <x v="2"/>
    <x v="2"/>
    <d v="2021-09-29T00:00:00"/>
    <x v="14"/>
    <d v="2026-10-06T14:43:47"/>
    <d v="2026-10-06T00:00:00"/>
    <n v="947"/>
    <d v="2024-05-31T00:00:00"/>
    <s v="May-24"/>
    <n v="26"/>
    <n v="5"/>
    <s v="CP"/>
  </r>
  <r>
    <s v="TRX0242"/>
    <d v="2024-05-04T00:00:00"/>
    <s v="CUST025"/>
    <s v="Mark Carter"/>
    <s v="P007"/>
    <x v="6"/>
    <x v="2"/>
    <n v="4"/>
    <n v="299.99"/>
    <x v="0"/>
    <x v="3"/>
    <x v="1"/>
    <d v="2022-06-04T00:00:00"/>
    <x v="15"/>
    <d v="2026-10-06T14:43:47"/>
    <d v="2026-10-06T00:00:00"/>
    <n v="700"/>
    <d v="2024-05-31T00:00:00"/>
    <s v="May-24"/>
    <n v="26"/>
    <n v="12"/>
    <s v="MC"/>
  </r>
  <r>
    <s v="TRX0071"/>
    <d v="2024-05-10T00:00:00"/>
    <s v="CUST036"/>
    <s v="Nancy Collins"/>
    <s v="P009"/>
    <x v="0"/>
    <x v="0"/>
    <n v="5"/>
    <n v="249.99"/>
    <x v="1"/>
    <x v="3"/>
    <x v="2"/>
    <d v="2021-11-25T00:00:00"/>
    <x v="16"/>
    <d v="2026-10-06T14:43:47"/>
    <d v="2026-10-06T00:00:00"/>
    <n v="897"/>
    <d v="2024-05-31T00:00:00"/>
    <s v="May-24"/>
    <n v="26"/>
    <n v="6"/>
    <s v="NC"/>
  </r>
  <r>
    <s v="TRX0040"/>
    <d v="2024-05-12T00:00:00"/>
    <s v="CUST022"/>
    <s v="Susan Green"/>
    <s v="P007"/>
    <x v="6"/>
    <x v="2"/>
    <n v="5"/>
    <n v="299.99"/>
    <x v="2"/>
    <x v="4"/>
    <x v="0"/>
    <d v="2023-08-30T00:00:00"/>
    <x v="17"/>
    <d v="2026-10-06T14:43:47"/>
    <d v="2026-10-06T00:00:00"/>
    <n v="256"/>
    <d v="2024-05-31T00:00:00"/>
    <s v="May-24"/>
    <n v="26"/>
    <n v="4"/>
    <s v="SG"/>
  </r>
  <r>
    <s v="TRX0235"/>
    <d v="2024-05-12T00:00:00"/>
    <s v="CUST014"/>
    <s v="Linda Martin"/>
    <s v="P004"/>
    <x v="7"/>
    <x v="1"/>
    <n v="3"/>
    <n v="79.989999999999995"/>
    <x v="2"/>
    <x v="4"/>
    <x v="1"/>
    <d v="2023-03-27T00:00:00"/>
    <x v="18"/>
    <d v="2026-10-06T14:43:47"/>
    <d v="2026-10-06T00:00:00"/>
    <n v="412"/>
    <d v="2024-05-31T00:00:00"/>
    <s v="May-24"/>
    <n v="14"/>
    <n v="4"/>
    <s v="LM"/>
  </r>
  <r>
    <s v="TRX0004"/>
    <d v="2024-05-12T00:00:00"/>
    <s v="CUST012"/>
    <s v="Patricia Moore"/>
    <s v="P010"/>
    <x v="8"/>
    <x v="0"/>
    <n v="5"/>
    <n v="89.99"/>
    <x v="0"/>
    <x v="2"/>
    <x v="1"/>
    <d v="2022-12-24T00:00:00"/>
    <x v="19"/>
    <d v="2026-10-06T14:43:47"/>
    <d v="2026-10-06T00:00:00"/>
    <n v="505"/>
    <d v="2024-05-31T00:00:00"/>
    <s v="May-24"/>
    <n v="34"/>
    <n v="8"/>
    <s v="PM"/>
  </r>
  <r>
    <s v="TRX0063"/>
    <d v="2024-05-13T00:00:00"/>
    <s v="CUST030"/>
    <s v="Helen Roberts"/>
    <s v="P005"/>
    <x v="1"/>
    <x v="1"/>
    <n v="2"/>
    <n v="59.99"/>
    <x v="3"/>
    <x v="0"/>
    <x v="2"/>
    <d v="2023-10-15T00:00:00"/>
    <x v="3"/>
    <d v="2026-10-06T14:43:47"/>
    <d v="2026-10-06T00:00:00"/>
    <n v="211"/>
    <d v="2024-05-31T00:00:00"/>
    <s v="May-24"/>
    <n v="29"/>
    <n v="7"/>
    <s v="HR"/>
  </r>
  <r>
    <s v="TRX0241"/>
    <d v="2024-05-15T00:00:00"/>
    <s v="CUST029"/>
    <s v="Edward Mitchell"/>
    <s v="P005"/>
    <x v="1"/>
    <x v="1"/>
    <n v="4"/>
    <n v="59.99"/>
    <x v="3"/>
    <x v="4"/>
    <x v="2"/>
    <d v="2022-11-02T00:00:00"/>
    <x v="20"/>
    <d v="2026-10-06T14:43:47"/>
    <d v="2026-10-06T00:00:00"/>
    <n v="560"/>
    <d v="2024-05-31T00:00:00"/>
    <s v="May-24"/>
    <n v="29"/>
    <n v="6"/>
    <s v="EM"/>
  </r>
  <r>
    <s v="TRX0029"/>
    <d v="2024-05-15T00:00:00"/>
    <s v="CUST017"/>
    <s v="Charles Allen"/>
    <s v="P006"/>
    <x v="9"/>
    <x v="2"/>
    <n v="5"/>
    <n v="199.99"/>
    <x v="0"/>
    <x v="1"/>
    <x v="2"/>
    <d v="2021-08-04T00:00:00"/>
    <x v="21"/>
    <d v="2026-10-06T14:43:47"/>
    <d v="2026-10-06T00:00:00"/>
    <n v="1015"/>
    <d v="2024-05-31T00:00:00"/>
    <s v="May-24"/>
    <n v="15"/>
    <n v="9"/>
    <s v="CA"/>
  </r>
  <r>
    <s v="TRX0194"/>
    <d v="2024-05-16T00:00:00"/>
    <s v="CUST006"/>
    <s v="Lisa Anderson"/>
    <s v="P008"/>
    <x v="2"/>
    <x v="2"/>
    <n v="2"/>
    <n v="149.99"/>
    <x v="1"/>
    <x v="3"/>
    <x v="0"/>
    <d v="2022-09-19T00:00:00"/>
    <x v="22"/>
    <d v="2026-10-06T14:43:47"/>
    <d v="2026-10-06T00:00:00"/>
    <n v="605"/>
    <d v="2024-05-31T00:00:00"/>
    <s v="May-24"/>
    <n v="35"/>
    <n v="5"/>
    <s v="LA"/>
  </r>
  <r>
    <s v="TRX0130"/>
    <d v="2024-05-18T00:00:00"/>
    <s v="CUST002"/>
    <s v="Emma Wilson"/>
    <s v="P008"/>
    <x v="2"/>
    <x v="2"/>
    <n v="3"/>
    <n v="149.99"/>
    <x v="1"/>
    <x v="3"/>
    <x v="1"/>
    <d v="2023-05-22T00:00:00"/>
    <x v="6"/>
    <d v="2026-10-06T14:43:47"/>
    <d v="2026-10-06T00:00:00"/>
    <n v="362"/>
    <d v="2024-05-31T00:00:00"/>
    <s v="May-24"/>
    <n v="35"/>
    <n v="5"/>
    <s v="EW"/>
  </r>
  <r>
    <s v="TRX0041"/>
    <d v="2024-05-20T00:00:00"/>
    <s v="CUST021"/>
    <s v="Kevin Scott"/>
    <s v="P001"/>
    <x v="4"/>
    <x v="0"/>
    <n v="1"/>
    <n v="899.99"/>
    <x v="1"/>
    <x v="3"/>
    <x v="1"/>
    <d v="2022-01-17T00:00:00"/>
    <x v="8"/>
    <d v="2026-10-06T14:43:47"/>
    <d v="2026-10-06T00:00:00"/>
    <n v="854"/>
    <d v="2024-05-31T00:00:00"/>
    <s v="May-24"/>
    <n v="24"/>
    <n v="6"/>
    <s v="KS"/>
  </r>
  <r>
    <s v="TRX0232"/>
    <d v="2024-05-22T00:00:00"/>
    <s v="CUST012"/>
    <s v="Patricia Moore"/>
    <s v="P007"/>
    <x v="6"/>
    <x v="2"/>
    <n v="3"/>
    <n v="299.99"/>
    <x v="1"/>
    <x v="4"/>
    <x v="0"/>
    <d v="2022-09-20T00:00:00"/>
    <x v="23"/>
    <d v="2026-10-06T14:43:47"/>
    <d v="2026-10-06T00:00:00"/>
    <n v="610"/>
    <d v="2024-05-31T00:00:00"/>
    <s v="May-24"/>
    <n v="26"/>
    <n v="8"/>
    <s v="PM"/>
  </r>
  <r>
    <s v="TRX0021"/>
    <d v="2024-05-23T00:00:00"/>
    <s v="CUST006"/>
    <s v="Lisa Anderson"/>
    <s v="P004"/>
    <x v="7"/>
    <x v="1"/>
    <n v="3"/>
    <n v="79.989999999999995"/>
    <x v="0"/>
    <x v="1"/>
    <x v="0"/>
    <d v="2023-04-30T00:00:00"/>
    <x v="18"/>
    <d v="2026-10-06T14:43:47"/>
    <d v="2026-10-06T00:00:00"/>
    <n v="389"/>
    <d v="2024-05-31T00:00:00"/>
    <s v="May-24"/>
    <n v="14"/>
    <n v="5"/>
    <s v="LA"/>
  </r>
  <r>
    <s v="TRX0245"/>
    <d v="2024-05-26T00:00:00"/>
    <s v="CUST031"/>
    <s v="Steven Turner"/>
    <s v="P006"/>
    <x v="9"/>
    <x v="2"/>
    <n v="3"/>
    <n v="199.99"/>
    <x v="1"/>
    <x v="2"/>
    <x v="1"/>
    <d v="2024-01-01T00:00:00"/>
    <x v="24"/>
    <d v="2026-10-06T14:43:47"/>
    <d v="2026-10-06T00:00:00"/>
    <n v="146"/>
    <d v="2024-05-31T00:00:00"/>
    <s v="May-24"/>
    <n v="15"/>
    <n v="6"/>
    <s v="ST"/>
  </r>
  <r>
    <s v="TRX0015"/>
    <d v="2024-05-28T00:00:00"/>
    <s v="CUST008"/>
    <s v="Jennifer Taylor"/>
    <s v="P002"/>
    <x v="5"/>
    <x v="0"/>
    <n v="5"/>
    <n v="699.99"/>
    <x v="2"/>
    <x v="3"/>
    <x v="2"/>
    <d v="2021-07-30T00:00:00"/>
    <x v="12"/>
    <d v="2026-10-06T14:43:47"/>
    <d v="2026-10-06T00:00:00"/>
    <n v="1033"/>
    <d v="2024-05-31T00:00:00"/>
    <s v="May-24"/>
    <n v="31"/>
    <n v="4"/>
    <s v="JT"/>
  </r>
  <r>
    <s v="TRX0202"/>
    <d v="2024-05-29T00:00:00"/>
    <s v="CUST035"/>
    <s v="Harry Morgan"/>
    <s v="P010"/>
    <x v="8"/>
    <x v="0"/>
    <n v="3"/>
    <n v="89.99"/>
    <x v="2"/>
    <x v="0"/>
    <x v="1"/>
    <d v="2023-07-13T00:00:00"/>
    <x v="25"/>
    <d v="2026-10-06T14:43:47"/>
    <d v="2026-10-06T00:00:00"/>
    <n v="321"/>
    <d v="2024-05-31T00:00:00"/>
    <s v="May-24"/>
    <n v="34"/>
    <n v="4"/>
    <s v="HM"/>
  </r>
  <r>
    <s v="TRX0042"/>
    <d v="2024-05-31T00:00:00"/>
    <s v="CUST019"/>
    <s v="Daniel King"/>
    <s v="P004"/>
    <x v="7"/>
    <x v="1"/>
    <n v="1"/>
    <n v="79.989999999999995"/>
    <x v="0"/>
    <x v="2"/>
    <x v="2"/>
    <d v="2022-12-22T00:00:00"/>
    <x v="26"/>
    <d v="2026-10-06T14:43:47"/>
    <d v="2026-10-06T00:00:00"/>
    <n v="526"/>
    <d v="2024-05-31T00:00:00"/>
    <s v="May-24"/>
    <n v="14"/>
    <n v="7"/>
    <s v="DK"/>
  </r>
  <r>
    <s v="TRX0128"/>
    <d v="2024-06-01T00:00:00"/>
    <s v="CUST040"/>
    <s v="Sharon Butler"/>
    <s v="P005"/>
    <x v="1"/>
    <x v="1"/>
    <n v="2"/>
    <n v="59.99"/>
    <x v="0"/>
    <x v="3"/>
    <x v="0"/>
    <d v="2024-04-08T00:00:00"/>
    <x v="3"/>
    <d v="2026-10-06T14:43:47"/>
    <d v="2026-10-06T00:00:00"/>
    <n v="54"/>
    <d v="2024-06-30T00:00:00"/>
    <s v="Jun-24"/>
    <n v="29"/>
    <n v="6"/>
    <s v="SB"/>
  </r>
  <r>
    <s v="TRX0117"/>
    <d v="2024-06-01T00:00:00"/>
    <s v="CUST017"/>
    <s v="Charles Allen"/>
    <s v="P010"/>
    <x v="8"/>
    <x v="0"/>
    <n v="1"/>
    <n v="89.99"/>
    <x v="0"/>
    <x v="2"/>
    <x v="0"/>
    <d v="2023-08-03T00:00:00"/>
    <x v="27"/>
    <d v="2026-10-06T14:43:47"/>
    <d v="2026-10-06T00:00:00"/>
    <n v="303"/>
    <d v="2024-06-30T00:00:00"/>
    <s v="Jun-24"/>
    <n v="34"/>
    <n v="9"/>
    <s v="CA"/>
  </r>
  <r>
    <s v="TRX0208"/>
    <d v="2024-06-03T00:00:00"/>
    <s v="CUST004"/>
    <s v="Sarah Davis"/>
    <s v="P010"/>
    <x v="8"/>
    <x v="0"/>
    <n v="5"/>
    <n v="89.99"/>
    <x v="1"/>
    <x v="4"/>
    <x v="2"/>
    <d v="2022-01-26T00:00:00"/>
    <x v="19"/>
    <d v="2026-10-06T14:43:47"/>
    <d v="2026-10-06T00:00:00"/>
    <n v="859"/>
    <d v="2024-06-30T00:00:00"/>
    <s v="Jun-24"/>
    <n v="34"/>
    <n v="5"/>
    <s v="SD"/>
  </r>
  <r>
    <s v="TRX0234"/>
    <d v="2024-06-06T00:00:00"/>
    <s v="CUST013"/>
    <s v="Joseph Jackson"/>
    <s v="P009"/>
    <x v="0"/>
    <x v="0"/>
    <n v="5"/>
    <n v="249.99"/>
    <x v="1"/>
    <x v="4"/>
    <x v="2"/>
    <d v="2022-05-26T00:00:00"/>
    <x v="16"/>
    <d v="2026-10-06T14:43:47"/>
    <d v="2026-10-06T00:00:00"/>
    <n v="742"/>
    <d v="2024-06-30T00:00:00"/>
    <s v="Jun-24"/>
    <n v="26"/>
    <n v="5"/>
    <s v="JJ"/>
  </r>
  <r>
    <s v="TRX0121"/>
    <d v="2024-06-06T00:00:00"/>
    <s v="CUST028"/>
    <s v="Betty Campbell"/>
    <s v="P010"/>
    <x v="8"/>
    <x v="0"/>
    <n v="1"/>
    <n v="89.99"/>
    <x v="1"/>
    <x v="1"/>
    <x v="2"/>
    <d v="2022-01-21T00:00:00"/>
    <x v="27"/>
    <d v="2026-10-06T14:43:47"/>
    <d v="2026-10-06T00:00:00"/>
    <n v="867"/>
    <d v="2024-06-30T00:00:00"/>
    <s v="Jun-24"/>
    <n v="34"/>
    <n v="5"/>
    <s v="BC"/>
  </r>
  <r>
    <s v="TRX0220"/>
    <d v="2024-06-07T00:00:00"/>
    <s v="CUST003"/>
    <s v="Michael Brown"/>
    <s v="P008"/>
    <x v="2"/>
    <x v="2"/>
    <n v="2"/>
    <n v="149.99"/>
    <x v="0"/>
    <x v="4"/>
    <x v="1"/>
    <d v="2022-03-25T00:00:00"/>
    <x v="22"/>
    <d v="2026-10-06T14:43:47"/>
    <d v="2026-10-06T00:00:00"/>
    <n v="805"/>
    <d v="2024-06-30T00:00:00"/>
    <s v="Jun-24"/>
    <n v="35"/>
    <n v="9"/>
    <s v="MB"/>
  </r>
  <r>
    <s v="TRX0093"/>
    <d v="2024-06-09T00:00:00"/>
    <s v="CUST050"/>
    <s v="Julie Foster"/>
    <s v="P005"/>
    <x v="1"/>
    <x v="1"/>
    <n v="4"/>
    <n v="59.99"/>
    <x v="0"/>
    <x v="4"/>
    <x v="2"/>
    <d v="2021-08-27T00:00:00"/>
    <x v="20"/>
    <d v="2026-10-06T14:43:47"/>
    <d v="2026-10-06T00:00:00"/>
    <n v="1017"/>
    <d v="2024-06-30T00:00:00"/>
    <s v="Jun-24"/>
    <n v="29"/>
    <n v="1"/>
    <s v="JF"/>
  </r>
  <r>
    <s v="TRX0088"/>
    <d v="2024-06-13T00:00:00"/>
    <s v="CUST006"/>
    <s v="Lisa Anderson"/>
    <s v="P010"/>
    <x v="8"/>
    <x v="0"/>
    <n v="5"/>
    <n v="89.99"/>
    <x v="0"/>
    <x v="0"/>
    <x v="1"/>
    <d v="2022-01-18T00:00:00"/>
    <x v="19"/>
    <d v="2026-10-06T14:43:47"/>
    <d v="2026-10-06T00:00:00"/>
    <n v="877"/>
    <d v="2024-06-30T00:00:00"/>
    <s v="Jun-24"/>
    <n v="34"/>
    <n v="5"/>
    <s v="LA"/>
  </r>
  <r>
    <s v="TRX0115"/>
    <d v="2024-06-16T00:00:00"/>
    <s v="CUST012"/>
    <s v="Patricia Moore"/>
    <s v="P010"/>
    <x v="8"/>
    <x v="0"/>
    <n v="2"/>
    <n v="89.99"/>
    <x v="1"/>
    <x v="1"/>
    <x v="1"/>
    <d v="2021-10-02T00:00:00"/>
    <x v="28"/>
    <d v="2026-10-06T14:43:47"/>
    <d v="2026-10-06T00:00:00"/>
    <n v="988"/>
    <d v="2024-06-30T00:00:00"/>
    <s v="Jun-24"/>
    <n v="34"/>
    <n v="8"/>
    <s v="PM"/>
  </r>
  <r>
    <s v="TRX0154"/>
    <d v="2024-06-16T00:00:00"/>
    <s v="CUST023"/>
    <s v="Paul Baker"/>
    <s v="P001"/>
    <x v="4"/>
    <x v="0"/>
    <n v="5"/>
    <n v="899.99"/>
    <x v="1"/>
    <x v="1"/>
    <x v="2"/>
    <d v="2023-02-17T00:00:00"/>
    <x v="29"/>
    <d v="2026-10-06T14:43:47"/>
    <d v="2026-10-06T00:00:00"/>
    <n v="485"/>
    <d v="2024-06-30T00:00:00"/>
    <s v="Jun-24"/>
    <n v="24"/>
    <n v="8"/>
    <s v="PB"/>
  </r>
  <r>
    <s v="TRX0044"/>
    <d v="2024-06-16T00:00:00"/>
    <s v="CUST029"/>
    <s v="Edward Mitchell"/>
    <s v="P001"/>
    <x v="4"/>
    <x v="0"/>
    <n v="5"/>
    <n v="899.99"/>
    <x v="2"/>
    <x v="4"/>
    <x v="1"/>
    <d v="2023-12-18T00:00:00"/>
    <x v="29"/>
    <d v="2026-10-06T14:43:47"/>
    <d v="2026-10-06T00:00:00"/>
    <n v="181"/>
    <d v="2024-06-30T00:00:00"/>
    <s v="Jun-24"/>
    <n v="24"/>
    <n v="6"/>
    <s v="EM"/>
  </r>
  <r>
    <s v="TRX0061"/>
    <d v="2024-06-17T00:00:00"/>
    <s v="CUST028"/>
    <s v="Betty Campbell"/>
    <s v="P005"/>
    <x v="1"/>
    <x v="1"/>
    <n v="1"/>
    <n v="59.99"/>
    <x v="3"/>
    <x v="3"/>
    <x v="1"/>
    <d v="2023-09-21T00:00:00"/>
    <x v="30"/>
    <d v="2026-10-06T14:43:47"/>
    <d v="2026-10-06T00:00:00"/>
    <n v="270"/>
    <d v="2024-06-30T00:00:00"/>
    <s v="Jun-24"/>
    <n v="29"/>
    <n v="5"/>
    <s v="BC"/>
  </r>
  <r>
    <s v="TRX0150"/>
    <d v="2024-06-17T00:00:00"/>
    <s v="CUST008"/>
    <s v="Jennifer Taylor"/>
    <s v="P007"/>
    <x v="6"/>
    <x v="2"/>
    <n v="2"/>
    <n v="299.99"/>
    <x v="3"/>
    <x v="4"/>
    <x v="2"/>
    <d v="2023-11-23T00:00:00"/>
    <x v="31"/>
    <d v="2026-10-06T14:43:47"/>
    <d v="2026-10-06T00:00:00"/>
    <n v="207"/>
    <d v="2024-06-30T00:00:00"/>
    <s v="Jun-24"/>
    <n v="26"/>
    <n v="4"/>
    <s v="JT"/>
  </r>
  <r>
    <s v="TRX0025"/>
    <d v="2024-06-25T00:00:00"/>
    <s v="CUST049"/>
    <s v="Raymond Ross"/>
    <s v="P010"/>
    <x v="8"/>
    <x v="0"/>
    <n v="4"/>
    <n v="89.99"/>
    <x v="3"/>
    <x v="1"/>
    <x v="0"/>
    <d v="2023-12-21T00:00:00"/>
    <x v="32"/>
    <d v="2026-10-06T14:43:47"/>
    <d v="2026-10-06T00:00:00"/>
    <n v="187"/>
    <d v="2024-06-30T00:00:00"/>
    <s v="Jun-24"/>
    <n v="34"/>
    <n v="4"/>
    <s v="RR"/>
  </r>
  <r>
    <s v="TRX0078"/>
    <d v="2024-06-26T00:00:00"/>
    <s v="CUST021"/>
    <s v="Kevin Scott"/>
    <s v="P004"/>
    <x v="7"/>
    <x v="1"/>
    <n v="1"/>
    <n v="79.989999999999995"/>
    <x v="2"/>
    <x v="0"/>
    <x v="1"/>
    <d v="2024-03-01T00:00:00"/>
    <x v="26"/>
    <d v="2026-10-06T14:43:47"/>
    <d v="2026-10-06T00:00:00"/>
    <n v="117"/>
    <d v="2024-06-30T00:00:00"/>
    <s v="Jun-24"/>
    <n v="14"/>
    <n v="6"/>
    <s v="KS"/>
  </r>
  <r>
    <s v="TRX0007"/>
    <d v="2024-06-26T00:00:00"/>
    <s v="CUST009"/>
    <s v="Robert Thomas"/>
    <s v="P010"/>
    <x v="8"/>
    <x v="0"/>
    <n v="2"/>
    <n v="89.99"/>
    <x v="0"/>
    <x v="3"/>
    <x v="0"/>
    <d v="2021-08-30T00:00:00"/>
    <x v="28"/>
    <d v="2026-10-06T14:43:47"/>
    <d v="2026-10-06T00:00:00"/>
    <n v="1031"/>
    <d v="2024-06-30T00:00:00"/>
    <s v="Jun-24"/>
    <n v="34"/>
    <n v="5"/>
    <s v="RT"/>
  </r>
  <r>
    <s v="TRX0184"/>
    <d v="2024-06-28T00:00:00"/>
    <s v="CUST046"/>
    <s v="Kathleen Bennett"/>
    <s v="P002"/>
    <x v="5"/>
    <x v="0"/>
    <n v="3"/>
    <n v="699.99"/>
    <x v="1"/>
    <x v="4"/>
    <x v="1"/>
    <d v="2023-06-25T00:00:00"/>
    <x v="7"/>
    <d v="2026-10-06T14:43:47"/>
    <d v="2026-10-06T00:00:00"/>
    <n v="369"/>
    <d v="2024-06-30T00:00:00"/>
    <s v="Jun-24"/>
    <n v="31"/>
    <n v="6"/>
    <s v="KB"/>
  </r>
  <r>
    <s v="TRX0104"/>
    <d v="2024-06-28T00:00:00"/>
    <s v="CUST012"/>
    <s v="Patricia Moore"/>
    <s v="P001"/>
    <x v="4"/>
    <x v="0"/>
    <n v="4"/>
    <n v="899.99"/>
    <x v="1"/>
    <x v="4"/>
    <x v="1"/>
    <d v="2023-03-08T00:00:00"/>
    <x v="11"/>
    <d v="2026-10-06T14:43:47"/>
    <d v="2026-10-06T00:00:00"/>
    <n v="478"/>
    <d v="2024-06-30T00:00:00"/>
    <s v="Jun-24"/>
    <n v="24"/>
    <n v="8"/>
    <s v="PM"/>
  </r>
  <r>
    <s v="TRX0127"/>
    <d v="2024-06-29T00:00:00"/>
    <s v="CUST030"/>
    <s v="Helen Roberts"/>
    <s v="P008"/>
    <x v="2"/>
    <x v="2"/>
    <n v="1"/>
    <n v="149.99"/>
    <x v="2"/>
    <x v="4"/>
    <x v="0"/>
    <d v="2022-10-17T00:00:00"/>
    <x v="5"/>
    <d v="2026-10-06T14:43:47"/>
    <d v="2026-10-06T00:00:00"/>
    <n v="621"/>
    <d v="2024-06-30T00:00:00"/>
    <s v="Jun-24"/>
    <n v="35"/>
    <n v="7"/>
    <s v="HR"/>
  </r>
  <r>
    <s v="TRX0096"/>
    <d v="2024-07-01T00:00:00"/>
    <s v="CUST002"/>
    <s v="Emma Wilson"/>
    <s v="P010"/>
    <x v="8"/>
    <x v="0"/>
    <n v="2"/>
    <n v="89.99"/>
    <x v="2"/>
    <x v="0"/>
    <x v="1"/>
    <d v="2023-12-15T00:00:00"/>
    <x v="28"/>
    <d v="2026-10-06T14:43:47"/>
    <d v="2026-10-06T00:00:00"/>
    <n v="199"/>
    <d v="2024-07-31T00:00:00"/>
    <s v="Jul-24"/>
    <n v="34"/>
    <n v="5"/>
    <s v="EW"/>
  </r>
  <r>
    <s v="TRX0192"/>
    <d v="2024-07-02T00:00:00"/>
    <s v="CUST017"/>
    <s v="Charles Allen"/>
    <s v="P010"/>
    <x v="8"/>
    <x v="0"/>
    <n v="1"/>
    <n v="89.99"/>
    <x v="2"/>
    <x v="3"/>
    <x v="2"/>
    <d v="2022-08-29T00:00:00"/>
    <x v="27"/>
    <d v="2026-10-06T14:43:47"/>
    <d v="2026-10-06T00:00:00"/>
    <n v="673"/>
    <d v="2024-07-31T00:00:00"/>
    <s v="Jul-24"/>
    <n v="34"/>
    <n v="9"/>
    <s v="CA"/>
  </r>
  <r>
    <s v="TRX0052"/>
    <d v="2024-07-03T00:00:00"/>
    <s v="CUST022"/>
    <s v="Susan Green"/>
    <s v="P010"/>
    <x v="8"/>
    <x v="0"/>
    <n v="1"/>
    <n v="89.99"/>
    <x v="0"/>
    <x v="1"/>
    <x v="2"/>
    <d v="2022-02-19T00:00:00"/>
    <x v="27"/>
    <d v="2026-10-06T14:43:47"/>
    <d v="2026-10-06T00:00:00"/>
    <n v="865"/>
    <d v="2024-07-31T00:00:00"/>
    <s v="Jul-24"/>
    <n v="34"/>
    <n v="4"/>
    <s v="SG"/>
  </r>
  <r>
    <s v="TRX0070"/>
    <d v="2024-07-03T00:00:00"/>
    <s v="CUST007"/>
    <s v="David Martinez"/>
    <s v="P004"/>
    <x v="7"/>
    <x v="1"/>
    <n v="5"/>
    <n v="79.989999999999995"/>
    <x v="3"/>
    <x v="0"/>
    <x v="0"/>
    <d v="2023-02-24T00:00:00"/>
    <x v="33"/>
    <d v="2026-10-06T14:43:47"/>
    <d v="2026-10-06T00:00:00"/>
    <n v="495"/>
    <d v="2024-07-31T00:00:00"/>
    <s v="Jul-24"/>
    <n v="14"/>
    <n v="6"/>
    <s v="DM"/>
  </r>
  <r>
    <s v="TRX0086"/>
    <d v="2024-07-08T00:00:00"/>
    <s v="CUST020"/>
    <s v="Margaret Wright"/>
    <s v="P008"/>
    <x v="2"/>
    <x v="2"/>
    <n v="1"/>
    <n v="149.99"/>
    <x v="2"/>
    <x v="2"/>
    <x v="0"/>
    <d v="2021-08-13T00:00:00"/>
    <x v="5"/>
    <d v="2026-10-06T14:43:47"/>
    <d v="2026-10-06T00:00:00"/>
    <n v="1060"/>
    <d v="2024-07-31T00:00:00"/>
    <s v="Jul-24"/>
    <n v="35"/>
    <n v="4"/>
    <s v="MW"/>
  </r>
  <r>
    <s v="TRX0113"/>
    <d v="2024-07-08T00:00:00"/>
    <s v="CUST003"/>
    <s v="Michael Brown"/>
    <s v="P002"/>
    <x v="5"/>
    <x v="0"/>
    <n v="2"/>
    <n v="699.99"/>
    <x v="2"/>
    <x v="4"/>
    <x v="1"/>
    <d v="2024-04-07T00:00:00"/>
    <x v="10"/>
    <d v="2026-10-06T14:43:47"/>
    <d v="2026-10-06T00:00:00"/>
    <n v="92"/>
    <d v="2024-07-31T00:00:00"/>
    <s v="Jul-24"/>
    <n v="31"/>
    <n v="9"/>
    <s v="MB"/>
  </r>
  <r>
    <s v="TRX0114"/>
    <d v="2024-07-08T00:00:00"/>
    <s v="CUST018"/>
    <s v="Barbara Young"/>
    <s v="P010"/>
    <x v="8"/>
    <x v="0"/>
    <n v="5"/>
    <n v="89.99"/>
    <x v="3"/>
    <x v="2"/>
    <x v="1"/>
    <d v="2023-08-23T00:00:00"/>
    <x v="19"/>
    <d v="2026-10-06T14:43:47"/>
    <d v="2026-10-06T00:00:00"/>
    <n v="320"/>
    <d v="2024-07-31T00:00:00"/>
    <s v="Jul-24"/>
    <n v="34"/>
    <n v="5"/>
    <s v="BY"/>
  </r>
  <r>
    <s v="TRX0136"/>
    <d v="2024-07-09T00:00:00"/>
    <s v="CUST049"/>
    <s v="Raymond Ross"/>
    <s v="P005"/>
    <x v="1"/>
    <x v="1"/>
    <n v="4"/>
    <n v="59.99"/>
    <x v="0"/>
    <x v="1"/>
    <x v="2"/>
    <d v="2021-11-09T00:00:00"/>
    <x v="20"/>
    <d v="2026-10-06T14:43:47"/>
    <d v="2026-10-06T00:00:00"/>
    <n v="973"/>
    <d v="2024-07-31T00:00:00"/>
    <s v="Jul-24"/>
    <n v="29"/>
    <n v="4"/>
    <s v="RR"/>
  </r>
  <r>
    <s v="TRX0018"/>
    <d v="2024-07-11T00:00:00"/>
    <s v="CUST013"/>
    <s v="Joseph Jackson"/>
    <s v="P003"/>
    <x v="3"/>
    <x v="0"/>
    <n v="1"/>
    <n v="149.99"/>
    <x v="0"/>
    <x v="0"/>
    <x v="2"/>
    <d v="2022-12-14T00:00:00"/>
    <x v="5"/>
    <d v="2026-10-06T14:43:47"/>
    <d v="2026-10-06T00:00:00"/>
    <n v="575"/>
    <d v="2024-07-31T00:00:00"/>
    <s v="Jul-24"/>
    <n v="16"/>
    <n v="5"/>
    <s v="JJ"/>
  </r>
  <r>
    <s v="TRX0141"/>
    <d v="2024-07-11T00:00:00"/>
    <s v="CUST033"/>
    <s v="Frank Torres"/>
    <s v="P007"/>
    <x v="6"/>
    <x v="2"/>
    <n v="1"/>
    <n v="299.99"/>
    <x v="1"/>
    <x v="2"/>
    <x v="1"/>
    <d v="2022-11-26T00:00:00"/>
    <x v="34"/>
    <d v="2026-10-06T14:43:47"/>
    <d v="2026-10-06T00:00:00"/>
    <n v="593"/>
    <d v="2024-07-31T00:00:00"/>
    <s v="Jul-24"/>
    <n v="26"/>
    <n v="5"/>
    <s v="FT"/>
  </r>
  <r>
    <s v="TRX0097"/>
    <d v="2024-07-14T00:00:00"/>
    <s v="CUST033"/>
    <s v="Frank Torres"/>
    <s v="P006"/>
    <x v="9"/>
    <x v="2"/>
    <n v="2"/>
    <n v="199.99"/>
    <x v="0"/>
    <x v="2"/>
    <x v="0"/>
    <d v="2021-12-11T00:00:00"/>
    <x v="35"/>
    <d v="2026-10-06T14:43:47"/>
    <d v="2026-10-06T00:00:00"/>
    <n v="946"/>
    <d v="2024-07-31T00:00:00"/>
    <s v="Jul-24"/>
    <n v="15"/>
    <n v="5"/>
    <s v="FT"/>
  </r>
  <r>
    <s v="TRX0169"/>
    <d v="2024-07-17T00:00:00"/>
    <s v="CUST047"/>
    <s v="Gerald Murphy"/>
    <s v="P005"/>
    <x v="1"/>
    <x v="1"/>
    <n v="3"/>
    <n v="59.99"/>
    <x v="1"/>
    <x v="3"/>
    <x v="0"/>
    <d v="2023-07-23T00:00:00"/>
    <x v="1"/>
    <d v="2026-10-06T14:43:47"/>
    <d v="2026-10-06T00:00:00"/>
    <n v="360"/>
    <d v="2024-07-31T00:00:00"/>
    <s v="Jul-24"/>
    <n v="29"/>
    <n v="4"/>
    <s v="GM"/>
  </r>
  <r>
    <s v="TRX0216"/>
    <d v="2024-07-17T00:00:00"/>
    <s v="CUST041"/>
    <s v="Peter Richardson"/>
    <s v="P008"/>
    <x v="2"/>
    <x v="2"/>
    <n v="3"/>
    <n v="149.99"/>
    <x v="0"/>
    <x v="0"/>
    <x v="1"/>
    <d v="2023-09-30T00:00:00"/>
    <x v="6"/>
    <d v="2026-10-06T14:43:47"/>
    <d v="2026-10-06T00:00:00"/>
    <n v="291"/>
    <d v="2024-07-31T00:00:00"/>
    <s v="Jul-24"/>
    <n v="35"/>
    <n v="5"/>
    <s v="PR"/>
  </r>
  <r>
    <s v="TRX0131"/>
    <d v="2024-07-18T00:00:00"/>
    <s v="CUST026"/>
    <s v="Karen Hill"/>
    <s v="P006"/>
    <x v="9"/>
    <x v="2"/>
    <n v="3"/>
    <n v="199.99"/>
    <x v="0"/>
    <x v="2"/>
    <x v="1"/>
    <d v="2023-11-24T00:00:00"/>
    <x v="24"/>
    <d v="2026-10-06T14:43:47"/>
    <d v="2026-10-06T00:00:00"/>
    <n v="237"/>
    <d v="2024-07-31T00:00:00"/>
    <s v="Jul-24"/>
    <n v="15"/>
    <n v="8"/>
    <s v="KH"/>
  </r>
  <r>
    <s v="TRX0162"/>
    <d v="2024-07-23T00:00:00"/>
    <s v="CUST040"/>
    <s v="Sharon Butler"/>
    <s v="P001"/>
    <x v="4"/>
    <x v="0"/>
    <n v="1"/>
    <n v="899.99"/>
    <x v="0"/>
    <x v="0"/>
    <x v="2"/>
    <d v="2023-09-10T00:00:00"/>
    <x v="8"/>
    <d v="2026-10-06T14:43:47"/>
    <d v="2026-10-06T00:00:00"/>
    <n v="317"/>
    <d v="2024-07-31T00:00:00"/>
    <s v="Jul-24"/>
    <n v="24"/>
    <n v="6"/>
    <s v="SB"/>
  </r>
  <r>
    <s v="TRX0244"/>
    <d v="2024-07-24T00:00:00"/>
    <s v="CUST013"/>
    <s v="Joseph Jackson"/>
    <s v="P001"/>
    <x v="4"/>
    <x v="0"/>
    <n v="5"/>
    <n v="899.99"/>
    <x v="3"/>
    <x v="1"/>
    <x v="2"/>
    <d v="2022-12-04T00:00:00"/>
    <x v="29"/>
    <d v="2026-10-06T14:43:47"/>
    <d v="2026-10-06T00:00:00"/>
    <n v="598"/>
    <d v="2024-07-31T00:00:00"/>
    <s v="Jul-24"/>
    <n v="24"/>
    <n v="5"/>
    <s v="JJ"/>
  </r>
  <r>
    <s v="TRX0006"/>
    <d v="2024-07-25T00:00:00"/>
    <s v="CUST007"/>
    <s v="David Martinez"/>
    <s v="P005"/>
    <x v="1"/>
    <x v="1"/>
    <n v="2"/>
    <n v="59.99"/>
    <x v="0"/>
    <x v="2"/>
    <x v="2"/>
    <d v="2023-08-14T00:00:00"/>
    <x v="3"/>
    <d v="2026-10-06T14:43:47"/>
    <d v="2026-10-06T00:00:00"/>
    <n v="346"/>
    <d v="2024-07-31T00:00:00"/>
    <s v="Jul-24"/>
    <n v="29"/>
    <n v="6"/>
    <s v="DM"/>
  </r>
  <r>
    <s v="TRX0215"/>
    <d v="2024-07-25T00:00:00"/>
    <s v="CUST047"/>
    <s v="Gerald Murphy"/>
    <s v="P009"/>
    <x v="0"/>
    <x v="0"/>
    <n v="4"/>
    <n v="249.99"/>
    <x v="3"/>
    <x v="0"/>
    <x v="2"/>
    <d v="2023-07-20T00:00:00"/>
    <x v="14"/>
    <d v="2026-10-06T14:43:47"/>
    <d v="2026-10-06T00:00:00"/>
    <n v="371"/>
    <d v="2024-07-31T00:00:00"/>
    <s v="Jul-24"/>
    <n v="26"/>
    <n v="4"/>
    <s v="GM"/>
  </r>
  <r>
    <s v="TRX0080"/>
    <d v="2024-07-27T00:00:00"/>
    <s v="CUST018"/>
    <s v="Barbara Young"/>
    <s v="P009"/>
    <x v="0"/>
    <x v="0"/>
    <n v="2"/>
    <n v="249.99"/>
    <x v="0"/>
    <x v="2"/>
    <x v="1"/>
    <d v="2023-08-26T00:00:00"/>
    <x v="36"/>
    <d v="2026-10-06T14:43:47"/>
    <d v="2026-10-06T00:00:00"/>
    <n v="336"/>
    <d v="2024-07-31T00:00:00"/>
    <s v="Jul-24"/>
    <n v="26"/>
    <n v="5"/>
    <s v="BY"/>
  </r>
  <r>
    <s v="TRX0228"/>
    <d v="2024-07-27T00:00:00"/>
    <s v="CUST019"/>
    <s v="Daniel King"/>
    <s v="P007"/>
    <x v="6"/>
    <x v="2"/>
    <n v="1"/>
    <n v="299.99"/>
    <x v="0"/>
    <x v="1"/>
    <x v="0"/>
    <d v="2023-02-25T00:00:00"/>
    <x v="34"/>
    <d v="2026-10-06T14:43:47"/>
    <d v="2026-10-06T00:00:00"/>
    <n v="518"/>
    <d v="2024-07-31T00:00:00"/>
    <s v="Jul-24"/>
    <n v="26"/>
    <n v="7"/>
    <s v="DK"/>
  </r>
  <r>
    <s v="TRX0157"/>
    <d v="2024-07-28T00:00:00"/>
    <s v="CUST025"/>
    <s v="Mark Carter"/>
    <s v="P010"/>
    <x v="8"/>
    <x v="0"/>
    <n v="2"/>
    <n v="89.99"/>
    <x v="2"/>
    <x v="1"/>
    <x v="0"/>
    <d v="2023-02-19T00:00:00"/>
    <x v="28"/>
    <d v="2026-10-06T14:43:47"/>
    <d v="2026-10-06T00:00:00"/>
    <n v="525"/>
    <d v="2024-07-31T00:00:00"/>
    <s v="Jul-24"/>
    <n v="34"/>
    <n v="12"/>
    <s v="MC"/>
  </r>
  <r>
    <s v="TRX0002"/>
    <d v="2024-07-28T00:00:00"/>
    <s v="CUST019"/>
    <s v="Daniel King"/>
    <s v="P007"/>
    <x v="6"/>
    <x v="2"/>
    <n v="3"/>
    <n v="299.99"/>
    <x v="0"/>
    <x v="0"/>
    <x v="0"/>
    <d v="2022-06-20T00:00:00"/>
    <x v="23"/>
    <d v="2026-10-06T14:43:47"/>
    <d v="2026-10-06T00:00:00"/>
    <n v="769"/>
    <d v="2024-07-31T00:00:00"/>
    <s v="Jul-24"/>
    <n v="26"/>
    <n v="7"/>
    <s v="DK"/>
  </r>
  <r>
    <s v="TRX0217"/>
    <d v="2024-07-30T00:00:00"/>
    <s v="CUST025"/>
    <s v="Mark Carter"/>
    <s v="P002"/>
    <x v="5"/>
    <x v="0"/>
    <n v="2"/>
    <n v="699.99"/>
    <x v="1"/>
    <x v="2"/>
    <x v="1"/>
    <d v="2023-03-14T00:00:00"/>
    <x v="10"/>
    <d v="2026-10-06T14:43:47"/>
    <d v="2026-10-06T00:00:00"/>
    <n v="504"/>
    <d v="2024-07-31T00:00:00"/>
    <s v="Jul-24"/>
    <n v="31"/>
    <n v="12"/>
    <s v="MC"/>
  </r>
  <r>
    <s v="TRX0249"/>
    <d v="2024-07-31T00:00:00"/>
    <s v="CUST030"/>
    <s v="Helen Roberts"/>
    <s v="P001"/>
    <x v="4"/>
    <x v="0"/>
    <n v="4"/>
    <n v="899.99"/>
    <x v="3"/>
    <x v="1"/>
    <x v="2"/>
    <d v="2021-11-23T00:00:00"/>
    <x v="11"/>
    <d v="2026-10-06T14:43:47"/>
    <d v="2026-10-06T00:00:00"/>
    <n v="981"/>
    <d v="2024-07-31T00:00:00"/>
    <s v="Jul-24"/>
    <n v="24"/>
    <n v="7"/>
    <s v="HR"/>
  </r>
  <r>
    <s v="TRX0065"/>
    <d v="2024-08-05T00:00:00"/>
    <s v="CUST016"/>
    <s v="Elizabeth Hall"/>
    <s v="P008"/>
    <x v="2"/>
    <x v="2"/>
    <n v="2"/>
    <n v="149.99"/>
    <x v="1"/>
    <x v="3"/>
    <x v="0"/>
    <d v="2021-12-12T00:00:00"/>
    <x v="22"/>
    <d v="2026-10-06T14:43:47"/>
    <d v="2026-10-06T00:00:00"/>
    <n v="967"/>
    <d v="2024-08-31T00:00:00"/>
    <s v="Aug-24"/>
    <n v="35"/>
    <n v="4"/>
    <s v="EH"/>
  </r>
  <r>
    <s v="TRX0176"/>
    <d v="2024-08-06T00:00:00"/>
    <s v="CUST044"/>
    <s v="Cynthia Price"/>
    <s v="P008"/>
    <x v="2"/>
    <x v="2"/>
    <n v="2"/>
    <n v="149.99"/>
    <x v="3"/>
    <x v="4"/>
    <x v="2"/>
    <d v="2022-04-16T00:00:00"/>
    <x v="22"/>
    <d v="2026-10-06T14:43:47"/>
    <d v="2026-10-06T00:00:00"/>
    <n v="843"/>
    <d v="2024-08-31T00:00:00"/>
    <s v="Aug-24"/>
    <n v="35"/>
    <n v="5"/>
    <s v="CP"/>
  </r>
  <r>
    <s v="TRX0101"/>
    <d v="2024-08-09T00:00:00"/>
    <s v="CUST010"/>
    <s v="Maria Garcia"/>
    <s v="P010"/>
    <x v="8"/>
    <x v="0"/>
    <n v="1"/>
    <n v="89.99"/>
    <x v="1"/>
    <x v="2"/>
    <x v="2"/>
    <d v="2024-04-11T00:00:00"/>
    <x v="27"/>
    <d v="2026-10-06T14:43:47"/>
    <d v="2026-10-06T00:00:00"/>
    <n v="120"/>
    <d v="2024-08-31T00:00:00"/>
    <s v="Aug-24"/>
    <n v="34"/>
    <n v="4"/>
    <s v="MG"/>
  </r>
  <r>
    <s v="TRX0205"/>
    <d v="2024-08-11T00:00:00"/>
    <s v="CUST025"/>
    <s v="Mark Carter"/>
    <s v="P007"/>
    <x v="6"/>
    <x v="2"/>
    <n v="5"/>
    <n v="299.99"/>
    <x v="1"/>
    <x v="2"/>
    <x v="0"/>
    <d v="2023-02-08T00:00:00"/>
    <x v="17"/>
    <d v="2026-10-06T14:43:47"/>
    <d v="2026-10-06T00:00:00"/>
    <n v="550"/>
    <d v="2024-08-31T00:00:00"/>
    <s v="Aug-24"/>
    <n v="26"/>
    <n v="12"/>
    <s v="MC"/>
  </r>
  <r>
    <s v="TRX0020"/>
    <d v="2024-08-13T00:00:00"/>
    <s v="CUST007"/>
    <s v="David Martinez"/>
    <s v="P003"/>
    <x v="3"/>
    <x v="0"/>
    <n v="4"/>
    <n v="149.99"/>
    <x v="3"/>
    <x v="1"/>
    <x v="1"/>
    <d v="2022-09-16T00:00:00"/>
    <x v="9"/>
    <d v="2026-10-06T14:43:47"/>
    <d v="2026-10-06T00:00:00"/>
    <n v="697"/>
    <d v="2024-08-31T00:00:00"/>
    <s v="Aug-24"/>
    <n v="16"/>
    <n v="6"/>
    <s v="DM"/>
  </r>
  <r>
    <s v="TRX0075"/>
    <d v="2024-08-13T00:00:00"/>
    <s v="CUST020"/>
    <s v="Margaret Wright"/>
    <s v="P009"/>
    <x v="0"/>
    <x v="0"/>
    <n v="5"/>
    <n v="249.99"/>
    <x v="2"/>
    <x v="4"/>
    <x v="1"/>
    <d v="2022-08-09T00:00:00"/>
    <x v="16"/>
    <d v="2026-10-06T14:43:47"/>
    <d v="2026-10-06T00:00:00"/>
    <n v="735"/>
    <d v="2024-08-31T00:00:00"/>
    <s v="Aug-24"/>
    <n v="26"/>
    <n v="4"/>
    <s v="MW"/>
  </r>
  <r>
    <s v="TRX0098"/>
    <d v="2024-08-13T00:00:00"/>
    <s v="CUST026"/>
    <s v="Karen Hill"/>
    <s v="P009"/>
    <x v="0"/>
    <x v="0"/>
    <n v="3"/>
    <n v="249.99"/>
    <x v="2"/>
    <x v="2"/>
    <x v="1"/>
    <d v="2021-09-26T00:00:00"/>
    <x v="0"/>
    <d v="2026-10-06T14:43:47"/>
    <d v="2026-10-06T00:00:00"/>
    <n v="1052"/>
    <d v="2024-08-31T00:00:00"/>
    <s v="Aug-24"/>
    <n v="26"/>
    <n v="8"/>
    <s v="KH"/>
  </r>
  <r>
    <s v="TRX0247"/>
    <d v="2024-08-13T00:00:00"/>
    <s v="CUST046"/>
    <s v="Kathleen Bennett"/>
    <s v="P006"/>
    <x v="9"/>
    <x v="2"/>
    <n v="4"/>
    <n v="199.99"/>
    <x v="0"/>
    <x v="2"/>
    <x v="2"/>
    <d v="2021-09-19T00:00:00"/>
    <x v="37"/>
    <d v="2026-10-06T14:43:47"/>
    <d v="2026-10-06T00:00:00"/>
    <n v="1059"/>
    <d v="2024-08-31T00:00:00"/>
    <s v="Aug-24"/>
    <n v="15"/>
    <n v="6"/>
    <s v="KB"/>
  </r>
  <r>
    <s v="TRX0027"/>
    <d v="2024-08-15T00:00:00"/>
    <s v="CUST028"/>
    <s v="Betty Campbell"/>
    <s v="P006"/>
    <x v="9"/>
    <x v="2"/>
    <n v="5"/>
    <n v="199.99"/>
    <x v="0"/>
    <x v="2"/>
    <x v="1"/>
    <d v="2023-03-06T00:00:00"/>
    <x v="21"/>
    <d v="2026-10-06T14:43:47"/>
    <d v="2026-10-06T00:00:00"/>
    <n v="528"/>
    <d v="2024-08-31T00:00:00"/>
    <s v="Aug-24"/>
    <n v="15"/>
    <n v="5"/>
    <s v="BC"/>
  </r>
  <r>
    <s v="TRX0140"/>
    <d v="2024-08-18T00:00:00"/>
    <s v="CUST025"/>
    <s v="Mark Carter"/>
    <s v="P010"/>
    <x v="8"/>
    <x v="0"/>
    <n v="2"/>
    <n v="89.99"/>
    <x v="0"/>
    <x v="4"/>
    <x v="1"/>
    <d v="2023-02-15T00:00:00"/>
    <x v="28"/>
    <d v="2026-10-06T14:43:47"/>
    <d v="2026-10-06T00:00:00"/>
    <n v="550"/>
    <d v="2024-08-31T00:00:00"/>
    <s v="Aug-24"/>
    <n v="34"/>
    <n v="12"/>
    <s v="MC"/>
  </r>
  <r>
    <s v="TRX0132"/>
    <d v="2024-08-19T00:00:00"/>
    <s v="CUST047"/>
    <s v="Gerald Murphy"/>
    <s v="P001"/>
    <x v="4"/>
    <x v="0"/>
    <n v="5"/>
    <n v="899.99"/>
    <x v="3"/>
    <x v="4"/>
    <x v="0"/>
    <d v="2021-11-26T00:00:00"/>
    <x v="29"/>
    <d v="2026-10-06T14:43:47"/>
    <d v="2026-10-06T00:00:00"/>
    <n v="997"/>
    <d v="2024-08-31T00:00:00"/>
    <s v="Aug-24"/>
    <n v="24"/>
    <n v="4"/>
    <s v="GM"/>
  </r>
  <r>
    <s v="TRX0031"/>
    <d v="2024-08-19T00:00:00"/>
    <s v="CUST036"/>
    <s v="Nancy Collins"/>
    <s v="P003"/>
    <x v="3"/>
    <x v="0"/>
    <n v="3"/>
    <n v="149.99"/>
    <x v="2"/>
    <x v="4"/>
    <x v="0"/>
    <d v="2022-01-13T00:00:00"/>
    <x v="6"/>
    <d v="2026-10-06T14:43:47"/>
    <d v="2026-10-06T00:00:00"/>
    <n v="949"/>
    <d v="2024-08-31T00:00:00"/>
    <s v="Aug-24"/>
    <n v="16"/>
    <n v="6"/>
    <s v="NC"/>
  </r>
  <r>
    <s v="TRX0236"/>
    <d v="2024-08-22T00:00:00"/>
    <s v="CUST044"/>
    <s v="Cynthia Price"/>
    <s v="P008"/>
    <x v="2"/>
    <x v="2"/>
    <n v="5"/>
    <n v="149.99"/>
    <x v="1"/>
    <x v="0"/>
    <x v="0"/>
    <d v="2024-01-19T00:00:00"/>
    <x v="2"/>
    <d v="2026-10-06T14:43:47"/>
    <d v="2026-10-06T00:00:00"/>
    <n v="216"/>
    <d v="2024-08-31T00:00:00"/>
    <s v="Aug-24"/>
    <n v="35"/>
    <n v="5"/>
    <s v="CP"/>
  </r>
  <r>
    <s v="TRX0001"/>
    <d v="2024-08-24T00:00:00"/>
    <s v="CUST039"/>
    <s v="Lawrence Reed"/>
    <s v="P004"/>
    <x v="7"/>
    <x v="1"/>
    <n v="3"/>
    <n v="79.989999999999995"/>
    <x v="0"/>
    <x v="0"/>
    <x v="1"/>
    <d v="2022-08-06T00:00:00"/>
    <x v="18"/>
    <d v="2026-10-06T14:43:47"/>
    <d v="2026-10-06T00:00:00"/>
    <n v="749"/>
    <d v="2024-08-31T00:00:00"/>
    <s v="Aug-24"/>
    <n v="14"/>
    <n v="8"/>
    <s v="LR"/>
  </r>
  <r>
    <s v="TRX0037"/>
    <d v="2024-08-24T00:00:00"/>
    <s v="CUST035"/>
    <s v="Harry Morgan"/>
    <s v="P009"/>
    <x v="0"/>
    <x v="0"/>
    <n v="2"/>
    <n v="249.99"/>
    <x v="0"/>
    <x v="1"/>
    <x v="2"/>
    <d v="2022-01-11T00:00:00"/>
    <x v="36"/>
    <d v="2026-10-06T14:43:47"/>
    <d v="2026-10-06T00:00:00"/>
    <n v="956"/>
    <d v="2024-08-31T00:00:00"/>
    <s v="Aug-24"/>
    <n v="26"/>
    <n v="4"/>
    <s v="HM"/>
  </r>
  <r>
    <s v="TRX0058"/>
    <d v="2024-08-28T00:00:00"/>
    <s v="CUST047"/>
    <s v="Gerald Murphy"/>
    <s v="P002"/>
    <x v="5"/>
    <x v="0"/>
    <n v="1"/>
    <n v="699.99"/>
    <x v="0"/>
    <x v="0"/>
    <x v="1"/>
    <d v="2021-10-28T00:00:00"/>
    <x v="38"/>
    <d v="2026-10-06T14:43:47"/>
    <d v="2026-10-06T00:00:00"/>
    <n v="1035"/>
    <d v="2024-08-31T00:00:00"/>
    <s v="Aug-24"/>
    <n v="31"/>
    <n v="4"/>
    <s v="GM"/>
  </r>
  <r>
    <s v="TRX0170"/>
    <d v="2024-08-28T00:00:00"/>
    <s v="CUST034"/>
    <s v="Carol Evans"/>
    <s v="P003"/>
    <x v="3"/>
    <x v="0"/>
    <n v="3"/>
    <n v="149.99"/>
    <x v="0"/>
    <x v="3"/>
    <x v="1"/>
    <d v="2023-10-13T00:00:00"/>
    <x v="6"/>
    <d v="2026-10-06T14:43:47"/>
    <d v="2026-10-06T00:00:00"/>
    <n v="320"/>
    <d v="2024-08-31T00:00:00"/>
    <s v="Aug-24"/>
    <n v="16"/>
    <n v="3"/>
    <s v="CE"/>
  </r>
  <r>
    <s v="TRX0248"/>
    <d v="2024-08-30T00:00:00"/>
    <s v="CUST032"/>
    <s v="Sandra Phillips"/>
    <s v="P002"/>
    <x v="5"/>
    <x v="0"/>
    <n v="2"/>
    <n v="699.99"/>
    <x v="1"/>
    <x v="2"/>
    <x v="1"/>
    <d v="2021-08-13T00:00:00"/>
    <x v="10"/>
    <d v="2026-10-06T14:43:47"/>
    <d v="2026-10-06T00:00:00"/>
    <n v="1113"/>
    <d v="2024-08-31T00:00:00"/>
    <s v="Aug-24"/>
    <n v="31"/>
    <n v="5"/>
    <s v="SP"/>
  </r>
  <r>
    <s v="TRX0099"/>
    <d v="2024-09-02T00:00:00"/>
    <s v="CUST034"/>
    <s v="Carol Evans"/>
    <s v="P009"/>
    <x v="0"/>
    <x v="0"/>
    <n v="1"/>
    <n v="249.99"/>
    <x v="1"/>
    <x v="3"/>
    <x v="1"/>
    <d v="2022-05-04T00:00:00"/>
    <x v="39"/>
    <d v="2026-10-06T14:43:47"/>
    <d v="2026-10-06T00:00:00"/>
    <n v="852"/>
    <d v="2024-09-30T00:00:00"/>
    <s v="Sep-24"/>
    <n v="26"/>
    <n v="3"/>
    <s v="CE"/>
  </r>
  <r>
    <s v="TRX0074"/>
    <d v="2024-09-02T00:00:00"/>
    <s v="CUST023"/>
    <s v="Paul Baker"/>
    <s v="P009"/>
    <x v="0"/>
    <x v="0"/>
    <n v="1"/>
    <n v="249.99"/>
    <x v="3"/>
    <x v="2"/>
    <x v="1"/>
    <d v="2024-02-10T00:00:00"/>
    <x v="39"/>
    <d v="2026-10-06T14:43:47"/>
    <d v="2026-10-06T00:00:00"/>
    <n v="205"/>
    <d v="2024-09-30T00:00:00"/>
    <s v="Sep-24"/>
    <n v="26"/>
    <n v="8"/>
    <s v="PB"/>
  </r>
  <r>
    <s v="TRX0225"/>
    <d v="2024-09-03T00:00:00"/>
    <s v="CUST039"/>
    <s v="Lawrence Reed"/>
    <s v="P002"/>
    <x v="5"/>
    <x v="0"/>
    <n v="2"/>
    <n v="699.99"/>
    <x v="3"/>
    <x v="0"/>
    <x v="1"/>
    <d v="2022-11-05T00:00:00"/>
    <x v="10"/>
    <d v="2026-10-06T14:43:47"/>
    <d v="2026-10-06T00:00:00"/>
    <n v="668"/>
    <d v="2024-09-30T00:00:00"/>
    <s v="Sep-24"/>
    <n v="31"/>
    <n v="8"/>
    <s v="LR"/>
  </r>
  <r>
    <s v="TRX0100"/>
    <d v="2024-09-06T00:00:00"/>
    <s v="CUST031"/>
    <s v="Steven Turner"/>
    <s v="P005"/>
    <x v="1"/>
    <x v="1"/>
    <n v="3"/>
    <n v="59.99"/>
    <x v="1"/>
    <x v="0"/>
    <x v="1"/>
    <d v="2022-06-05T00:00:00"/>
    <x v="1"/>
    <d v="2026-10-06T14:43:47"/>
    <d v="2026-10-06T00:00:00"/>
    <n v="824"/>
    <d v="2024-09-30T00:00:00"/>
    <s v="Sep-24"/>
    <n v="29"/>
    <n v="6"/>
    <s v="ST"/>
  </r>
  <r>
    <s v="TRX0142"/>
    <d v="2024-09-09T00:00:00"/>
    <s v="CUST002"/>
    <s v="Emma Wilson"/>
    <s v="P005"/>
    <x v="1"/>
    <x v="1"/>
    <n v="3"/>
    <n v="59.99"/>
    <x v="2"/>
    <x v="4"/>
    <x v="2"/>
    <d v="2022-07-06T00:00:00"/>
    <x v="1"/>
    <d v="2026-10-06T14:43:47"/>
    <d v="2026-10-06T00:00:00"/>
    <n v="796"/>
    <d v="2024-09-30T00:00:00"/>
    <s v="Sep-24"/>
    <n v="29"/>
    <n v="5"/>
    <s v="EW"/>
  </r>
  <r>
    <s v="TRX0112"/>
    <d v="2024-09-09T00:00:00"/>
    <s v="CUST008"/>
    <s v="Jennifer Taylor"/>
    <s v="P004"/>
    <x v="7"/>
    <x v="1"/>
    <n v="4"/>
    <n v="79.989999999999995"/>
    <x v="0"/>
    <x v="2"/>
    <x v="0"/>
    <d v="2021-11-30T00:00:00"/>
    <x v="40"/>
    <d v="2026-10-06T14:43:47"/>
    <d v="2026-10-06T00:00:00"/>
    <n v="1014"/>
    <d v="2024-09-30T00:00:00"/>
    <s v="Sep-24"/>
    <n v="14"/>
    <n v="4"/>
    <s v="JT"/>
  </r>
  <r>
    <s v="TRX0161"/>
    <d v="2024-09-10T00:00:00"/>
    <s v="CUST017"/>
    <s v="Charles Allen"/>
    <s v="P004"/>
    <x v="7"/>
    <x v="1"/>
    <n v="1"/>
    <n v="79.989999999999995"/>
    <x v="0"/>
    <x v="3"/>
    <x v="0"/>
    <d v="2022-05-12T00:00:00"/>
    <x v="26"/>
    <d v="2026-10-06T14:43:47"/>
    <d v="2026-10-06T00:00:00"/>
    <n v="852"/>
    <d v="2024-09-30T00:00:00"/>
    <s v="Sep-24"/>
    <n v="14"/>
    <n v="9"/>
    <s v="CA"/>
  </r>
  <r>
    <s v="TRX0108"/>
    <d v="2024-09-12T00:00:00"/>
    <s v="CUST024"/>
    <s v="Dorothy Nelson"/>
    <s v="P007"/>
    <x v="6"/>
    <x v="2"/>
    <n v="3"/>
    <n v="299.99"/>
    <x v="1"/>
    <x v="0"/>
    <x v="1"/>
    <d v="2021-10-25T00:00:00"/>
    <x v="23"/>
    <d v="2026-10-06T14:43:47"/>
    <d v="2026-10-06T00:00:00"/>
    <n v="1053"/>
    <d v="2024-09-30T00:00:00"/>
    <s v="Sep-24"/>
    <n v="26"/>
    <n v="6"/>
    <s v="DN"/>
  </r>
  <r>
    <s v="TRX0211"/>
    <d v="2024-09-13T00:00:00"/>
    <s v="CUST046"/>
    <s v="Kathleen Bennett"/>
    <s v="P010"/>
    <x v="8"/>
    <x v="0"/>
    <n v="2"/>
    <n v="89.99"/>
    <x v="1"/>
    <x v="1"/>
    <x v="1"/>
    <d v="2022-03-21T00:00:00"/>
    <x v="28"/>
    <d v="2026-10-06T14:43:47"/>
    <d v="2026-10-06T00:00:00"/>
    <n v="907"/>
    <d v="2024-09-30T00:00:00"/>
    <s v="Sep-24"/>
    <n v="34"/>
    <n v="6"/>
    <s v="KB"/>
  </r>
  <r>
    <s v="TRX0005"/>
    <d v="2024-09-15T00:00:00"/>
    <s v="CUST042"/>
    <s v="Ruth Brooks"/>
    <s v="P003"/>
    <x v="3"/>
    <x v="0"/>
    <n v="4"/>
    <n v="149.99"/>
    <x v="0"/>
    <x v="2"/>
    <x v="0"/>
    <d v="2022-12-14T00:00:00"/>
    <x v="9"/>
    <d v="2026-10-06T14:43:47"/>
    <d v="2026-10-06T00:00:00"/>
    <n v="641"/>
    <d v="2024-09-30T00:00:00"/>
    <s v="Sep-24"/>
    <n v="16"/>
    <n v="3"/>
    <s v="RB"/>
  </r>
  <r>
    <s v="TRX0195"/>
    <d v="2024-09-16T00:00:00"/>
    <s v="CUST026"/>
    <s v="Karen Hill"/>
    <s v="P009"/>
    <x v="0"/>
    <x v="0"/>
    <n v="2"/>
    <n v="249.99"/>
    <x v="2"/>
    <x v="1"/>
    <x v="0"/>
    <d v="2023-03-08T00:00:00"/>
    <x v="36"/>
    <d v="2026-10-06T14:43:47"/>
    <d v="2026-10-06T00:00:00"/>
    <n v="558"/>
    <d v="2024-09-30T00:00:00"/>
    <s v="Sep-24"/>
    <n v="26"/>
    <n v="8"/>
    <s v="KH"/>
  </r>
  <r>
    <s v="TRX0054"/>
    <d v="2024-09-16T00:00:00"/>
    <s v="CUST004"/>
    <s v="Sarah Davis"/>
    <s v="P006"/>
    <x v="9"/>
    <x v="2"/>
    <n v="4"/>
    <n v="199.99"/>
    <x v="3"/>
    <x v="4"/>
    <x v="0"/>
    <d v="2021-09-19T00:00:00"/>
    <x v="37"/>
    <d v="2026-10-06T14:43:47"/>
    <d v="2026-10-06T00:00:00"/>
    <n v="1093"/>
    <d v="2024-09-30T00:00:00"/>
    <s v="Sep-24"/>
    <n v="15"/>
    <n v="5"/>
    <s v="SD"/>
  </r>
  <r>
    <s v="TRX0077"/>
    <d v="2024-09-19T00:00:00"/>
    <s v="CUST019"/>
    <s v="Daniel King"/>
    <s v="P010"/>
    <x v="8"/>
    <x v="0"/>
    <n v="5"/>
    <n v="89.99"/>
    <x v="1"/>
    <x v="4"/>
    <x v="1"/>
    <d v="2021-09-07T00:00:00"/>
    <x v="19"/>
    <d v="2026-10-06T14:43:47"/>
    <d v="2026-10-06T00:00:00"/>
    <n v="1108"/>
    <d v="2024-09-30T00:00:00"/>
    <s v="Sep-24"/>
    <n v="34"/>
    <n v="7"/>
    <s v="DK"/>
  </r>
  <r>
    <s v="TRX0111"/>
    <d v="2024-09-19T00:00:00"/>
    <s v="CUST011"/>
    <s v="William White"/>
    <s v="P003"/>
    <x v="3"/>
    <x v="0"/>
    <n v="1"/>
    <n v="149.99"/>
    <x v="2"/>
    <x v="4"/>
    <x v="2"/>
    <d v="2021-10-13T00:00:00"/>
    <x v="5"/>
    <d v="2026-10-06T14:43:47"/>
    <d v="2026-10-06T00:00:00"/>
    <n v="1072"/>
    <d v="2024-09-30T00:00:00"/>
    <s v="Sep-24"/>
    <n v="16"/>
    <n v="3"/>
    <s v="WW"/>
  </r>
  <r>
    <s v="TRX0123"/>
    <d v="2024-09-19T00:00:00"/>
    <s v="CUST041"/>
    <s v="Peter Richardson"/>
    <s v="P002"/>
    <x v="5"/>
    <x v="0"/>
    <n v="4"/>
    <n v="699.99"/>
    <x v="2"/>
    <x v="1"/>
    <x v="0"/>
    <d v="2022-02-26T00:00:00"/>
    <x v="13"/>
    <d v="2026-10-06T14:43:47"/>
    <d v="2026-10-06T00:00:00"/>
    <n v="936"/>
    <d v="2024-09-30T00:00:00"/>
    <s v="Sep-24"/>
    <n v="31"/>
    <n v="5"/>
    <s v="PR"/>
  </r>
  <r>
    <s v="TRX0177"/>
    <d v="2024-09-24T00:00:00"/>
    <s v="CUST032"/>
    <s v="Sandra Phillips"/>
    <s v="P001"/>
    <x v="4"/>
    <x v="0"/>
    <n v="3"/>
    <n v="899.99"/>
    <x v="1"/>
    <x v="2"/>
    <x v="2"/>
    <d v="2023-08-19T00:00:00"/>
    <x v="4"/>
    <d v="2026-10-06T14:43:47"/>
    <d v="2026-10-06T00:00:00"/>
    <n v="402"/>
    <d v="2024-09-30T00:00:00"/>
    <s v="Sep-24"/>
    <n v="24"/>
    <n v="5"/>
    <s v="SP"/>
  </r>
  <r>
    <s v="TRX0119"/>
    <d v="2024-09-25T00:00:00"/>
    <s v="CUST014"/>
    <s v="Linda Martin"/>
    <s v="P008"/>
    <x v="2"/>
    <x v="2"/>
    <n v="3"/>
    <n v="149.99"/>
    <x v="2"/>
    <x v="4"/>
    <x v="0"/>
    <d v="2022-11-21T00:00:00"/>
    <x v="6"/>
    <d v="2026-10-06T14:43:47"/>
    <d v="2026-10-06T00:00:00"/>
    <n v="674"/>
    <d v="2024-09-30T00:00:00"/>
    <s v="Sep-24"/>
    <n v="35"/>
    <n v="4"/>
    <s v="LM"/>
  </r>
  <r>
    <s v="TRX0181"/>
    <d v="2024-09-28T00:00:00"/>
    <s v="CUST012"/>
    <s v="Patricia Moore"/>
    <s v="P007"/>
    <x v="6"/>
    <x v="2"/>
    <n v="2"/>
    <n v="299.99"/>
    <x v="3"/>
    <x v="0"/>
    <x v="0"/>
    <d v="2022-01-08T00:00:00"/>
    <x v="31"/>
    <d v="2026-10-06T14:43:47"/>
    <d v="2026-10-06T00:00:00"/>
    <n v="994"/>
    <d v="2024-09-30T00:00:00"/>
    <s v="Sep-24"/>
    <n v="26"/>
    <n v="8"/>
    <s v="PM"/>
  </r>
  <r>
    <s v="TRX0129"/>
    <d v="2024-09-29T00:00:00"/>
    <s v="CUST015"/>
    <s v="Richard Lee"/>
    <s v="P006"/>
    <x v="9"/>
    <x v="2"/>
    <n v="1"/>
    <n v="199.99"/>
    <x v="3"/>
    <x v="4"/>
    <x v="2"/>
    <d v="2023-01-27T00:00:00"/>
    <x v="41"/>
    <d v="2026-10-06T14:43:47"/>
    <d v="2026-10-06T00:00:00"/>
    <n v="611"/>
    <d v="2024-09-30T00:00:00"/>
    <s v="Sep-24"/>
    <n v="15"/>
    <n v="3"/>
    <s v="RL"/>
  </r>
  <r>
    <s v="TRX0174"/>
    <d v="2024-10-01T00:00:00"/>
    <s v="CUST003"/>
    <s v="Michael Brown"/>
    <s v="P007"/>
    <x v="6"/>
    <x v="2"/>
    <n v="4"/>
    <n v="299.99"/>
    <x v="0"/>
    <x v="0"/>
    <x v="1"/>
    <d v="2021-09-21T00:00:00"/>
    <x v="15"/>
    <d v="2026-10-06T14:43:47"/>
    <d v="2026-10-06T00:00:00"/>
    <n v="1106"/>
    <d v="2024-10-31T00:00:00"/>
    <s v="Oct-24"/>
    <n v="26"/>
    <n v="9"/>
    <s v="MB"/>
  </r>
  <r>
    <s v="TRX0146"/>
    <d v="2024-10-07T00:00:00"/>
    <s v="CUST010"/>
    <s v="Maria Garcia"/>
    <s v="P005"/>
    <x v="1"/>
    <x v="1"/>
    <n v="2"/>
    <n v="59.99"/>
    <x v="1"/>
    <x v="0"/>
    <x v="0"/>
    <d v="2022-01-18T00:00:00"/>
    <x v="3"/>
    <d v="2026-10-06T14:43:47"/>
    <d v="2026-10-06T00:00:00"/>
    <n v="993"/>
    <d v="2024-10-31T00:00:00"/>
    <s v="Oct-24"/>
    <n v="29"/>
    <n v="4"/>
    <s v="MG"/>
  </r>
  <r>
    <s v="TRX0203"/>
    <d v="2024-10-07T00:00:00"/>
    <s v="CUST032"/>
    <s v="Sandra Phillips"/>
    <s v="P003"/>
    <x v="3"/>
    <x v="0"/>
    <n v="4"/>
    <n v="149.99"/>
    <x v="1"/>
    <x v="2"/>
    <x v="1"/>
    <d v="2023-05-30T00:00:00"/>
    <x v="9"/>
    <d v="2026-10-06T14:43:47"/>
    <d v="2026-10-06T00:00:00"/>
    <n v="496"/>
    <d v="2024-10-31T00:00:00"/>
    <s v="Oct-24"/>
    <n v="16"/>
    <n v="5"/>
    <s v="SP"/>
  </r>
  <r>
    <s v="TRX0055"/>
    <d v="2024-10-08T00:00:00"/>
    <s v="CUST016"/>
    <s v="Elizabeth Hall"/>
    <s v="P002"/>
    <x v="5"/>
    <x v="0"/>
    <n v="2"/>
    <n v="699.99"/>
    <x v="3"/>
    <x v="4"/>
    <x v="1"/>
    <d v="2023-12-14T00:00:00"/>
    <x v="10"/>
    <d v="2026-10-06T14:43:47"/>
    <d v="2026-10-06T00:00:00"/>
    <n v="299"/>
    <d v="2024-10-31T00:00:00"/>
    <s v="Oct-24"/>
    <n v="31"/>
    <n v="4"/>
    <s v="EH"/>
  </r>
  <r>
    <s v="TRX0218"/>
    <d v="2024-10-08T00:00:00"/>
    <s v="CUST034"/>
    <s v="Carol Evans"/>
    <s v="P008"/>
    <x v="2"/>
    <x v="2"/>
    <n v="3"/>
    <n v="149.99"/>
    <x v="1"/>
    <x v="1"/>
    <x v="2"/>
    <d v="2023-01-14T00:00:00"/>
    <x v="6"/>
    <d v="2026-10-06T14:43:47"/>
    <d v="2026-10-06T00:00:00"/>
    <n v="633"/>
    <d v="2024-10-31T00:00:00"/>
    <s v="Oct-24"/>
    <n v="35"/>
    <n v="3"/>
    <s v="CE"/>
  </r>
  <r>
    <s v="TRX0085"/>
    <d v="2024-10-11T00:00:00"/>
    <s v="CUST019"/>
    <s v="Daniel King"/>
    <s v="P007"/>
    <x v="6"/>
    <x v="2"/>
    <n v="3"/>
    <n v="299.99"/>
    <x v="1"/>
    <x v="0"/>
    <x v="2"/>
    <d v="2023-09-05T00:00:00"/>
    <x v="23"/>
    <d v="2026-10-06T14:43:47"/>
    <d v="2026-10-06T00:00:00"/>
    <n v="402"/>
    <d v="2024-10-31T00:00:00"/>
    <s v="Oct-24"/>
    <n v="26"/>
    <n v="7"/>
    <s v="DK"/>
  </r>
  <r>
    <s v="TRX0158"/>
    <d v="2024-10-14T00:00:00"/>
    <s v="CUST027"/>
    <s v="George Adams"/>
    <s v="P001"/>
    <x v="4"/>
    <x v="0"/>
    <n v="3"/>
    <n v="899.99"/>
    <x v="2"/>
    <x v="3"/>
    <x v="0"/>
    <d v="2023-10-16T00:00:00"/>
    <x v="4"/>
    <d v="2026-10-06T14:43:47"/>
    <d v="2026-10-06T00:00:00"/>
    <n v="364"/>
    <d v="2024-10-31T00:00:00"/>
    <s v="Oct-24"/>
    <n v="24"/>
    <n v="3"/>
    <s v="GA"/>
  </r>
  <r>
    <s v="TRX0173"/>
    <d v="2024-10-16T00:00:00"/>
    <s v="CUST018"/>
    <s v="Barbara Young"/>
    <s v="P002"/>
    <x v="5"/>
    <x v="0"/>
    <n v="5"/>
    <n v="699.99"/>
    <x v="0"/>
    <x v="4"/>
    <x v="2"/>
    <d v="2023-03-23T00:00:00"/>
    <x v="12"/>
    <d v="2026-10-06T14:43:47"/>
    <d v="2026-10-06T00:00:00"/>
    <n v="573"/>
    <d v="2024-10-31T00:00:00"/>
    <s v="Oct-24"/>
    <n v="31"/>
    <n v="5"/>
    <s v="BY"/>
  </r>
  <r>
    <s v="TRX0034"/>
    <d v="2024-10-16T00:00:00"/>
    <s v="CUST049"/>
    <s v="Raymond Ross"/>
    <s v="P002"/>
    <x v="5"/>
    <x v="0"/>
    <n v="4"/>
    <n v="699.99"/>
    <x v="1"/>
    <x v="0"/>
    <x v="0"/>
    <d v="2024-04-03T00:00:00"/>
    <x v="13"/>
    <d v="2026-10-06T14:43:47"/>
    <d v="2026-10-06T00:00:00"/>
    <n v="196"/>
    <d v="2024-10-31T00:00:00"/>
    <s v="Oct-24"/>
    <n v="31"/>
    <n v="4"/>
    <s v="RR"/>
  </r>
  <r>
    <s v="TRX0189"/>
    <d v="2024-10-16T00:00:00"/>
    <s v="CUST040"/>
    <s v="Sharon Butler"/>
    <s v="P001"/>
    <x v="4"/>
    <x v="0"/>
    <n v="1"/>
    <n v="899.99"/>
    <x v="1"/>
    <x v="4"/>
    <x v="2"/>
    <d v="2024-03-18T00:00:00"/>
    <x v="8"/>
    <d v="2026-10-06T14:43:47"/>
    <d v="2026-10-06T00:00:00"/>
    <n v="212"/>
    <d v="2024-10-31T00:00:00"/>
    <s v="Oct-24"/>
    <n v="24"/>
    <n v="6"/>
    <s v="SB"/>
  </r>
  <r>
    <s v="TRX0190"/>
    <d v="2024-10-18T00:00:00"/>
    <s v="CUST039"/>
    <s v="Lawrence Reed"/>
    <s v="P003"/>
    <x v="3"/>
    <x v="0"/>
    <n v="2"/>
    <n v="149.99"/>
    <x v="1"/>
    <x v="3"/>
    <x v="0"/>
    <d v="2022-12-21T00:00:00"/>
    <x v="22"/>
    <d v="2026-10-06T14:43:47"/>
    <d v="2026-10-06T00:00:00"/>
    <n v="667"/>
    <d v="2024-10-31T00:00:00"/>
    <s v="Oct-24"/>
    <n v="16"/>
    <n v="8"/>
    <s v="LR"/>
  </r>
  <r>
    <s v="TRX0079"/>
    <d v="2024-10-21T00:00:00"/>
    <s v="CUST039"/>
    <s v="Lawrence Reed"/>
    <s v="P010"/>
    <x v="8"/>
    <x v="0"/>
    <n v="3"/>
    <n v="89.99"/>
    <x v="2"/>
    <x v="0"/>
    <x v="0"/>
    <d v="2021-12-21T00:00:00"/>
    <x v="25"/>
    <d v="2026-10-06T14:43:47"/>
    <d v="2026-10-06T00:00:00"/>
    <n v="1035"/>
    <d v="2024-10-31T00:00:00"/>
    <s v="Oct-24"/>
    <n v="34"/>
    <n v="8"/>
    <s v="LR"/>
  </r>
  <r>
    <s v="TRX0095"/>
    <d v="2024-10-23T00:00:00"/>
    <s v="CUST046"/>
    <s v="Kathleen Bennett"/>
    <s v="P003"/>
    <x v="3"/>
    <x v="0"/>
    <n v="2"/>
    <n v="149.99"/>
    <x v="2"/>
    <x v="0"/>
    <x v="0"/>
    <d v="2021-10-04T00:00:00"/>
    <x v="22"/>
    <d v="2026-10-06T14:43:47"/>
    <d v="2026-10-06T00:00:00"/>
    <n v="1115"/>
    <d v="2024-10-31T00:00:00"/>
    <s v="Oct-24"/>
    <n v="16"/>
    <n v="6"/>
    <s v="KB"/>
  </r>
  <r>
    <s v="TRX0009"/>
    <d v="2024-10-23T00:00:00"/>
    <s v="CUST004"/>
    <s v="Sarah Davis"/>
    <s v="P002"/>
    <x v="5"/>
    <x v="0"/>
    <n v="2"/>
    <n v="699.99"/>
    <x v="0"/>
    <x v="0"/>
    <x v="0"/>
    <d v="2023-03-07T00:00:00"/>
    <x v="10"/>
    <d v="2026-10-06T14:43:47"/>
    <d v="2026-10-06T00:00:00"/>
    <n v="596"/>
    <d v="2024-10-31T00:00:00"/>
    <s v="Oct-24"/>
    <n v="31"/>
    <n v="5"/>
    <s v="SD"/>
  </r>
  <r>
    <s v="TRX0167"/>
    <d v="2024-10-24T00:00:00"/>
    <s v="CUST028"/>
    <s v="Betty Campbell"/>
    <s v="P002"/>
    <x v="5"/>
    <x v="0"/>
    <n v="5"/>
    <n v="699.99"/>
    <x v="0"/>
    <x v="2"/>
    <x v="1"/>
    <d v="2022-03-15T00:00:00"/>
    <x v="12"/>
    <d v="2026-10-06T14:43:47"/>
    <d v="2026-10-06T00:00:00"/>
    <n v="954"/>
    <d v="2024-10-31T00:00:00"/>
    <s v="Oct-24"/>
    <n v="31"/>
    <n v="5"/>
    <s v="BC"/>
  </r>
  <r>
    <s v="TRX0153"/>
    <d v="2024-10-27T00:00:00"/>
    <s v="CUST049"/>
    <s v="Raymond Ross"/>
    <s v="P010"/>
    <x v="8"/>
    <x v="0"/>
    <n v="3"/>
    <n v="89.99"/>
    <x v="1"/>
    <x v="2"/>
    <x v="2"/>
    <d v="2022-02-23T00:00:00"/>
    <x v="25"/>
    <d v="2026-10-06T14:43:47"/>
    <d v="2026-10-06T00:00:00"/>
    <n v="977"/>
    <d v="2024-10-31T00:00:00"/>
    <s v="Oct-24"/>
    <n v="34"/>
    <n v="4"/>
    <s v="RR"/>
  </r>
  <r>
    <s v="TRX0057"/>
    <d v="2024-11-01T00:00:00"/>
    <s v="CUST023"/>
    <s v="Paul Baker"/>
    <s v="P009"/>
    <x v="0"/>
    <x v="0"/>
    <n v="5"/>
    <n v="249.99"/>
    <x v="1"/>
    <x v="1"/>
    <x v="2"/>
    <d v="2022-11-16T00:00:00"/>
    <x v="16"/>
    <d v="2026-10-06T14:43:47"/>
    <d v="2026-10-06T00:00:00"/>
    <n v="716"/>
    <d v="2024-11-30T00:00:00"/>
    <s v="Nov-24"/>
    <n v="26"/>
    <n v="8"/>
    <s v="PB"/>
  </r>
  <r>
    <s v="TRX0017"/>
    <d v="2024-11-04T00:00:00"/>
    <s v="CUST026"/>
    <s v="Karen Hill"/>
    <s v="P007"/>
    <x v="6"/>
    <x v="2"/>
    <n v="3"/>
    <n v="299.99"/>
    <x v="1"/>
    <x v="1"/>
    <x v="2"/>
    <d v="2021-11-02T00:00:00"/>
    <x v="23"/>
    <d v="2026-10-06T14:43:47"/>
    <d v="2026-10-06T00:00:00"/>
    <n v="1098"/>
    <d v="2024-11-30T00:00:00"/>
    <s v="Nov-24"/>
    <n v="26"/>
    <n v="8"/>
    <s v="KH"/>
  </r>
  <r>
    <s v="TRX0060"/>
    <d v="2024-11-07T00:00:00"/>
    <s v="CUST012"/>
    <s v="Patricia Moore"/>
    <s v="P010"/>
    <x v="8"/>
    <x v="0"/>
    <n v="3"/>
    <n v="89.99"/>
    <x v="1"/>
    <x v="2"/>
    <x v="1"/>
    <d v="2021-08-12T00:00:00"/>
    <x v="25"/>
    <d v="2026-10-06T14:43:47"/>
    <d v="2026-10-06T00:00:00"/>
    <n v="1183"/>
    <d v="2024-11-30T00:00:00"/>
    <s v="Nov-24"/>
    <n v="34"/>
    <n v="8"/>
    <s v="PM"/>
  </r>
  <r>
    <s v="TRX0109"/>
    <d v="2024-11-08T00:00:00"/>
    <s v="CUST010"/>
    <s v="Maria Garcia"/>
    <s v="P008"/>
    <x v="2"/>
    <x v="2"/>
    <n v="2"/>
    <n v="149.99"/>
    <x v="1"/>
    <x v="3"/>
    <x v="1"/>
    <d v="2022-10-14T00:00:00"/>
    <x v="22"/>
    <d v="2026-10-06T14:43:47"/>
    <d v="2026-10-06T00:00:00"/>
    <n v="756"/>
    <d v="2024-11-30T00:00:00"/>
    <s v="Nov-24"/>
    <n v="35"/>
    <n v="4"/>
    <s v="MG"/>
  </r>
  <r>
    <s v="TRX0090"/>
    <d v="2024-11-09T00:00:00"/>
    <s v="CUST020"/>
    <s v="Margaret Wright"/>
    <s v="P009"/>
    <x v="0"/>
    <x v="0"/>
    <n v="1"/>
    <n v="249.99"/>
    <x v="1"/>
    <x v="2"/>
    <x v="1"/>
    <d v="2022-09-24T00:00:00"/>
    <x v="39"/>
    <d v="2026-10-06T14:43:47"/>
    <d v="2026-10-06T00:00:00"/>
    <n v="777"/>
    <d v="2024-11-30T00:00:00"/>
    <s v="Nov-24"/>
    <n v="26"/>
    <n v="4"/>
    <s v="MW"/>
  </r>
  <r>
    <s v="TRX0035"/>
    <d v="2024-11-11T00:00:00"/>
    <s v="CUST041"/>
    <s v="Peter Richardson"/>
    <s v="P003"/>
    <x v="3"/>
    <x v="0"/>
    <n v="3"/>
    <n v="149.99"/>
    <x v="0"/>
    <x v="2"/>
    <x v="0"/>
    <d v="2022-07-27T00:00:00"/>
    <x v="6"/>
    <d v="2026-10-06T14:43:47"/>
    <d v="2026-10-06T00:00:00"/>
    <n v="838"/>
    <d v="2024-11-30T00:00:00"/>
    <s v="Nov-24"/>
    <n v="16"/>
    <n v="5"/>
    <s v="PR"/>
  </r>
  <r>
    <s v="TRX0172"/>
    <d v="2024-11-11T00:00:00"/>
    <s v="CUST023"/>
    <s v="Paul Baker"/>
    <s v="P005"/>
    <x v="1"/>
    <x v="1"/>
    <n v="5"/>
    <n v="59.99"/>
    <x v="2"/>
    <x v="3"/>
    <x v="1"/>
    <d v="2022-05-13T00:00:00"/>
    <x v="42"/>
    <d v="2026-10-06T14:43:47"/>
    <d v="2026-10-06T00:00:00"/>
    <n v="913"/>
    <d v="2024-11-30T00:00:00"/>
    <s v="Nov-24"/>
    <n v="29"/>
    <n v="8"/>
    <s v="PB"/>
  </r>
  <r>
    <s v="TRX0076"/>
    <d v="2024-11-11T00:00:00"/>
    <s v="CUST012"/>
    <s v="Patricia Moore"/>
    <s v="P009"/>
    <x v="0"/>
    <x v="0"/>
    <n v="4"/>
    <n v="249.99"/>
    <x v="1"/>
    <x v="3"/>
    <x v="2"/>
    <d v="2022-04-08T00:00:00"/>
    <x v="14"/>
    <d v="2026-10-06T14:43:47"/>
    <d v="2026-10-06T00:00:00"/>
    <n v="948"/>
    <d v="2024-11-30T00:00:00"/>
    <s v="Nov-24"/>
    <n v="26"/>
    <n v="8"/>
    <s v="PM"/>
  </r>
  <r>
    <s v="TRX0210"/>
    <d v="2024-11-12T00:00:00"/>
    <s v="CUST004"/>
    <s v="Sarah Davis"/>
    <s v="P008"/>
    <x v="2"/>
    <x v="2"/>
    <n v="5"/>
    <n v="149.99"/>
    <x v="2"/>
    <x v="0"/>
    <x v="0"/>
    <d v="2022-12-06T00:00:00"/>
    <x v="2"/>
    <d v="2026-10-06T14:43:47"/>
    <d v="2026-10-06T00:00:00"/>
    <n v="707"/>
    <d v="2024-11-30T00:00:00"/>
    <s v="Nov-24"/>
    <n v="35"/>
    <n v="5"/>
    <s v="SD"/>
  </r>
  <r>
    <s v="TRX0149"/>
    <d v="2024-11-12T00:00:00"/>
    <s v="CUST027"/>
    <s v="George Adams"/>
    <s v="P005"/>
    <x v="1"/>
    <x v="1"/>
    <n v="3"/>
    <n v="59.99"/>
    <x v="3"/>
    <x v="1"/>
    <x v="2"/>
    <d v="2023-11-30T00:00:00"/>
    <x v="1"/>
    <d v="2026-10-06T14:43:47"/>
    <d v="2026-10-06T00:00:00"/>
    <n v="348"/>
    <d v="2024-11-30T00:00:00"/>
    <s v="Nov-24"/>
    <n v="29"/>
    <n v="3"/>
    <s v="GA"/>
  </r>
  <r>
    <s v="TRX0073"/>
    <d v="2024-11-17T00:00:00"/>
    <s v="CUST032"/>
    <s v="Sandra Phillips"/>
    <s v="P008"/>
    <x v="2"/>
    <x v="2"/>
    <n v="5"/>
    <n v="149.99"/>
    <x v="0"/>
    <x v="2"/>
    <x v="0"/>
    <d v="2022-11-04T00:00:00"/>
    <x v="2"/>
    <d v="2026-10-06T14:43:47"/>
    <d v="2026-10-06T00:00:00"/>
    <n v="744"/>
    <d v="2024-11-30T00:00:00"/>
    <s v="Nov-24"/>
    <n v="35"/>
    <n v="5"/>
    <s v="SP"/>
  </r>
  <r>
    <s v="TRX0033"/>
    <d v="2024-11-17T00:00:00"/>
    <s v="CUST025"/>
    <s v="Mark Carter"/>
    <s v="P002"/>
    <x v="5"/>
    <x v="0"/>
    <n v="2"/>
    <n v="699.99"/>
    <x v="2"/>
    <x v="3"/>
    <x v="2"/>
    <d v="2022-07-28T00:00:00"/>
    <x v="10"/>
    <d v="2026-10-06T14:43:47"/>
    <d v="2026-10-06T00:00:00"/>
    <n v="843"/>
    <d v="2024-11-30T00:00:00"/>
    <s v="Nov-24"/>
    <n v="31"/>
    <n v="12"/>
    <s v="MC"/>
  </r>
  <r>
    <s v="TRX0160"/>
    <d v="2024-11-21T00:00:00"/>
    <s v="CUST029"/>
    <s v="Edward Mitchell"/>
    <s v="P006"/>
    <x v="9"/>
    <x v="2"/>
    <n v="4"/>
    <n v="199.99"/>
    <x v="3"/>
    <x v="0"/>
    <x v="1"/>
    <d v="2021-08-19T00:00:00"/>
    <x v="37"/>
    <d v="2026-10-06T14:43:47"/>
    <d v="2026-10-06T00:00:00"/>
    <n v="1190"/>
    <d v="2024-11-30T00:00:00"/>
    <s v="Nov-24"/>
    <n v="15"/>
    <n v="6"/>
    <s v="EM"/>
  </r>
  <r>
    <s v="TRX0145"/>
    <d v="2024-11-23T00:00:00"/>
    <s v="CUST033"/>
    <s v="Frank Torres"/>
    <s v="P005"/>
    <x v="1"/>
    <x v="1"/>
    <n v="1"/>
    <n v="59.99"/>
    <x v="3"/>
    <x v="3"/>
    <x v="2"/>
    <d v="2021-12-30T00:00:00"/>
    <x v="30"/>
    <d v="2026-10-06T14:43:47"/>
    <d v="2026-10-06T00:00:00"/>
    <n v="1059"/>
    <d v="2024-11-30T00:00:00"/>
    <s v="Nov-24"/>
    <n v="29"/>
    <n v="5"/>
    <s v="FT"/>
  </r>
  <r>
    <s v="TRX0148"/>
    <d v="2024-11-23T00:00:00"/>
    <s v="CUST004"/>
    <s v="Sarah Davis"/>
    <s v="P002"/>
    <x v="5"/>
    <x v="0"/>
    <n v="3"/>
    <n v="699.99"/>
    <x v="2"/>
    <x v="3"/>
    <x v="2"/>
    <d v="2022-01-22T00:00:00"/>
    <x v="7"/>
    <d v="2026-10-06T14:43:47"/>
    <d v="2026-10-06T00:00:00"/>
    <n v="1036"/>
    <d v="2024-11-30T00:00:00"/>
    <s v="Nov-24"/>
    <n v="31"/>
    <n v="5"/>
    <s v="SD"/>
  </r>
  <r>
    <s v="TRX0012"/>
    <d v="2024-11-26T00:00:00"/>
    <s v="CUST045"/>
    <s v="Douglas Watson"/>
    <s v="P009"/>
    <x v="0"/>
    <x v="0"/>
    <n v="5"/>
    <n v="249.99"/>
    <x v="1"/>
    <x v="2"/>
    <x v="0"/>
    <d v="2022-11-08T00:00:00"/>
    <x v="16"/>
    <d v="2026-10-06T14:43:47"/>
    <d v="2026-10-06T00:00:00"/>
    <n v="749"/>
    <d v="2024-11-30T00:00:00"/>
    <s v="Nov-24"/>
    <n v="26"/>
    <n v="4"/>
    <s v="DW"/>
  </r>
  <r>
    <s v="TRX0206"/>
    <d v="2024-11-27T00:00:00"/>
    <s v="CUST014"/>
    <s v="Linda Martin"/>
    <s v="P008"/>
    <x v="2"/>
    <x v="2"/>
    <n v="2"/>
    <n v="149.99"/>
    <x v="0"/>
    <x v="1"/>
    <x v="2"/>
    <d v="2023-06-24T00:00:00"/>
    <x v="22"/>
    <d v="2026-10-06T14:43:47"/>
    <d v="2026-10-06T00:00:00"/>
    <n v="522"/>
    <d v="2024-11-30T00:00:00"/>
    <s v="Nov-24"/>
    <n v="35"/>
    <n v="4"/>
    <s v="LM"/>
  </r>
  <r>
    <s v="TRX0045"/>
    <d v="2024-12-01T00:00:00"/>
    <s v="CUST021"/>
    <s v="Kevin Scott"/>
    <s v="P007"/>
    <x v="6"/>
    <x v="2"/>
    <n v="3"/>
    <n v="299.99"/>
    <x v="0"/>
    <x v="1"/>
    <x v="1"/>
    <d v="2022-04-08T00:00:00"/>
    <x v="23"/>
    <d v="2026-10-06T14:43:47"/>
    <d v="2026-10-06T00:00:00"/>
    <n v="968"/>
    <d v="2024-12-31T00:00:00"/>
    <s v="Dec-24"/>
    <n v="26"/>
    <n v="6"/>
    <s v="KS"/>
  </r>
  <r>
    <s v="TRX0094"/>
    <d v="2024-12-01T00:00:00"/>
    <s v="CUST017"/>
    <s v="Charles Allen"/>
    <s v="P009"/>
    <x v="0"/>
    <x v="0"/>
    <n v="5"/>
    <n v="249.99"/>
    <x v="0"/>
    <x v="0"/>
    <x v="1"/>
    <d v="2021-10-16T00:00:00"/>
    <x v="16"/>
    <d v="2026-10-06T14:43:47"/>
    <d v="2026-10-06T00:00:00"/>
    <n v="1142"/>
    <d v="2024-12-31T00:00:00"/>
    <s v="Dec-24"/>
    <n v="26"/>
    <n v="9"/>
    <s v="CA"/>
  </r>
  <r>
    <s v="TRX0133"/>
    <d v="2024-12-01T00:00:00"/>
    <s v="CUST013"/>
    <s v="Joseph Jackson"/>
    <s v="P003"/>
    <x v="3"/>
    <x v="0"/>
    <n v="2"/>
    <n v="149.99"/>
    <x v="0"/>
    <x v="1"/>
    <x v="1"/>
    <d v="2021-10-06T00:00:00"/>
    <x v="22"/>
    <d v="2026-10-06T14:43:47"/>
    <d v="2026-10-06T00:00:00"/>
    <n v="1152"/>
    <d v="2024-12-31T00:00:00"/>
    <s v="Dec-24"/>
    <n v="16"/>
    <n v="5"/>
    <s v="JJ"/>
  </r>
  <r>
    <s v="TRX0201"/>
    <d v="2024-12-01T00:00:00"/>
    <s v="CUST025"/>
    <s v="Mark Carter"/>
    <s v="P002"/>
    <x v="5"/>
    <x v="0"/>
    <n v="5"/>
    <n v="699.99"/>
    <x v="3"/>
    <x v="3"/>
    <x v="2"/>
    <d v="2023-01-18T00:00:00"/>
    <x v="12"/>
    <d v="2026-10-06T14:43:47"/>
    <d v="2026-10-06T00:00:00"/>
    <n v="683"/>
    <d v="2024-12-31T00:00:00"/>
    <s v="Dec-24"/>
    <n v="31"/>
    <n v="12"/>
    <s v="MC"/>
  </r>
  <r>
    <s v="TRX0137"/>
    <d v="2024-12-03T00:00:00"/>
    <s v="CUST011"/>
    <s v="William White"/>
    <s v="P009"/>
    <x v="0"/>
    <x v="0"/>
    <n v="4"/>
    <n v="249.99"/>
    <x v="2"/>
    <x v="4"/>
    <x v="1"/>
    <d v="2023-06-21T00:00:00"/>
    <x v="14"/>
    <d v="2026-10-06T14:43:47"/>
    <d v="2026-10-06T00:00:00"/>
    <n v="531"/>
    <d v="2024-12-31T00:00:00"/>
    <s v="Dec-24"/>
    <n v="26"/>
    <n v="3"/>
    <s v="WW"/>
  </r>
  <r>
    <s v="TRX0066"/>
    <d v="2024-12-04T00:00:00"/>
    <s v="CUST024"/>
    <s v="Dorothy Nelson"/>
    <s v="P002"/>
    <x v="5"/>
    <x v="0"/>
    <n v="4"/>
    <n v="699.99"/>
    <x v="1"/>
    <x v="2"/>
    <x v="1"/>
    <d v="2022-05-22T00:00:00"/>
    <x v="13"/>
    <d v="2026-10-06T14:43:47"/>
    <d v="2026-10-06T00:00:00"/>
    <n v="927"/>
    <d v="2024-12-31T00:00:00"/>
    <s v="Dec-24"/>
    <n v="31"/>
    <n v="6"/>
    <s v="DN"/>
  </r>
  <r>
    <s v="TRX0180"/>
    <d v="2024-12-09T00:00:00"/>
    <s v="CUST036"/>
    <s v="Nancy Collins"/>
    <s v="P009"/>
    <x v="0"/>
    <x v="0"/>
    <n v="2"/>
    <n v="249.99"/>
    <x v="1"/>
    <x v="0"/>
    <x v="1"/>
    <d v="2021-07-19T00:00:00"/>
    <x v="36"/>
    <d v="2026-10-06T14:43:47"/>
    <d v="2026-10-06T00:00:00"/>
    <n v="1239"/>
    <d v="2024-12-31T00:00:00"/>
    <s v="Dec-24"/>
    <n v="26"/>
    <n v="6"/>
    <s v="NC"/>
  </r>
  <r>
    <s v="TRX0082"/>
    <d v="2024-12-09T00:00:00"/>
    <s v="CUST005"/>
    <s v="James Johnson"/>
    <s v="P005"/>
    <x v="1"/>
    <x v="1"/>
    <n v="3"/>
    <n v="59.99"/>
    <x v="0"/>
    <x v="0"/>
    <x v="1"/>
    <d v="2023-05-06T00:00:00"/>
    <x v="1"/>
    <d v="2026-10-06T14:43:47"/>
    <d v="2026-10-06T00:00:00"/>
    <n v="583"/>
    <d v="2024-12-31T00:00:00"/>
    <s v="Dec-24"/>
    <n v="29"/>
    <n v="1"/>
    <s v="JJ"/>
  </r>
  <r>
    <s v="TRX0036"/>
    <d v="2024-12-09T00:00:00"/>
    <s v="CUST008"/>
    <s v="Jennifer Taylor"/>
    <s v="P004"/>
    <x v="7"/>
    <x v="1"/>
    <n v="4"/>
    <n v="79.989999999999995"/>
    <x v="3"/>
    <x v="4"/>
    <x v="2"/>
    <d v="2022-12-26T00:00:00"/>
    <x v="40"/>
    <d v="2026-10-06T14:43:47"/>
    <d v="2026-10-06T00:00:00"/>
    <n v="714"/>
    <d v="2024-12-31T00:00:00"/>
    <s v="Dec-24"/>
    <n v="14"/>
    <n v="4"/>
    <s v="JT"/>
  </r>
  <r>
    <s v="TRX0198"/>
    <d v="2024-12-10T00:00:00"/>
    <s v="CUST030"/>
    <s v="Helen Roberts"/>
    <s v="P004"/>
    <x v="7"/>
    <x v="1"/>
    <n v="3"/>
    <n v="79.989999999999995"/>
    <x v="3"/>
    <x v="4"/>
    <x v="2"/>
    <d v="2022-08-06T00:00:00"/>
    <x v="18"/>
    <d v="2026-10-06T14:43:47"/>
    <d v="2026-10-06T00:00:00"/>
    <n v="857"/>
    <d v="2024-12-31T00:00:00"/>
    <s v="Dec-24"/>
    <n v="14"/>
    <n v="7"/>
    <s v="HR"/>
  </r>
  <r>
    <s v="TRX0032"/>
    <d v="2024-12-12T00:00:00"/>
    <s v="CUST041"/>
    <s v="Peter Richardson"/>
    <s v="P001"/>
    <x v="4"/>
    <x v="0"/>
    <n v="2"/>
    <n v="899.99"/>
    <x v="0"/>
    <x v="2"/>
    <x v="0"/>
    <d v="2021-07-29T00:00:00"/>
    <x v="43"/>
    <d v="2026-10-06T14:43:47"/>
    <d v="2026-10-06T00:00:00"/>
    <n v="1232"/>
    <d v="2024-12-31T00:00:00"/>
    <s v="Dec-24"/>
    <n v="24"/>
    <n v="5"/>
    <s v="PR"/>
  </r>
  <r>
    <s v="TRX0081"/>
    <d v="2024-12-15T00:00:00"/>
    <s v="CUST007"/>
    <s v="David Martinez"/>
    <s v="P008"/>
    <x v="2"/>
    <x v="2"/>
    <n v="1"/>
    <n v="149.99"/>
    <x v="3"/>
    <x v="4"/>
    <x v="2"/>
    <d v="2023-10-01T00:00:00"/>
    <x v="5"/>
    <d v="2026-10-06T14:43:47"/>
    <d v="2026-10-06T00:00:00"/>
    <n v="441"/>
    <d v="2024-12-31T00:00:00"/>
    <s v="Dec-24"/>
    <n v="35"/>
    <n v="6"/>
    <s v="DM"/>
  </r>
  <r>
    <s v="TRX0224"/>
    <d v="2024-12-15T00:00:00"/>
    <s v="CUST031"/>
    <s v="Steven Turner"/>
    <s v="P007"/>
    <x v="6"/>
    <x v="2"/>
    <n v="2"/>
    <n v="299.99"/>
    <x v="0"/>
    <x v="4"/>
    <x v="1"/>
    <d v="2022-06-12T00:00:00"/>
    <x v="31"/>
    <d v="2026-10-06T14:43:47"/>
    <d v="2026-10-06T00:00:00"/>
    <n v="917"/>
    <d v="2024-12-31T00:00:00"/>
    <s v="Dec-24"/>
    <n v="26"/>
    <n v="6"/>
    <s v="ST"/>
  </r>
  <r>
    <s v="TRX0028"/>
    <d v="2024-12-18T00:00:00"/>
    <s v="CUST002"/>
    <s v="Emma Wilson"/>
    <s v="P005"/>
    <x v="1"/>
    <x v="1"/>
    <n v="2"/>
    <n v="59.99"/>
    <x v="0"/>
    <x v="3"/>
    <x v="0"/>
    <d v="2023-09-22T00:00:00"/>
    <x v="3"/>
    <d v="2026-10-06T14:43:47"/>
    <d v="2026-10-06T00:00:00"/>
    <n v="453"/>
    <d v="2024-12-31T00:00:00"/>
    <s v="Dec-24"/>
    <n v="29"/>
    <n v="5"/>
    <s v="EW"/>
  </r>
  <r>
    <s v="TRX0183"/>
    <d v="2024-12-19T00:00:00"/>
    <s v="CUST007"/>
    <s v="David Martinez"/>
    <s v="P010"/>
    <x v="8"/>
    <x v="0"/>
    <n v="1"/>
    <n v="89.99"/>
    <x v="3"/>
    <x v="0"/>
    <x v="2"/>
    <d v="2022-07-18T00:00:00"/>
    <x v="27"/>
    <d v="2026-10-06T14:43:47"/>
    <d v="2026-10-06T00:00:00"/>
    <n v="885"/>
    <d v="2024-12-31T00:00:00"/>
    <s v="Dec-24"/>
    <n v="34"/>
    <n v="6"/>
    <s v="DM"/>
  </r>
  <r>
    <s v="TRX0163"/>
    <d v="2024-12-19T00:00:00"/>
    <s v="CUST019"/>
    <s v="Daniel King"/>
    <s v="P001"/>
    <x v="4"/>
    <x v="0"/>
    <n v="5"/>
    <n v="899.99"/>
    <x v="3"/>
    <x v="4"/>
    <x v="2"/>
    <d v="2022-03-05T00:00:00"/>
    <x v="29"/>
    <d v="2026-10-06T14:43:47"/>
    <d v="2026-10-06T00:00:00"/>
    <n v="1020"/>
    <d v="2024-12-31T00:00:00"/>
    <s v="Dec-24"/>
    <n v="24"/>
    <n v="7"/>
    <s v="DK"/>
  </r>
  <r>
    <s v="TRX0046"/>
    <d v="2024-12-20T00:00:00"/>
    <s v="CUST003"/>
    <s v="Michael Brown"/>
    <s v="P008"/>
    <x v="2"/>
    <x v="2"/>
    <n v="2"/>
    <n v="149.99"/>
    <x v="0"/>
    <x v="1"/>
    <x v="0"/>
    <d v="2023-11-09T00:00:00"/>
    <x v="22"/>
    <d v="2026-10-06T14:43:47"/>
    <d v="2026-10-06T00:00:00"/>
    <n v="407"/>
    <d v="2024-12-31T00:00:00"/>
    <s v="Dec-24"/>
    <n v="35"/>
    <n v="9"/>
    <s v="MB"/>
  </r>
  <r>
    <s v="TRX0164"/>
    <d v="2024-12-22T00:00:00"/>
    <s v="CUST014"/>
    <s v="Linda Martin"/>
    <s v="P003"/>
    <x v="3"/>
    <x v="0"/>
    <n v="2"/>
    <n v="149.99"/>
    <x v="3"/>
    <x v="3"/>
    <x v="1"/>
    <d v="2023-12-20T00:00:00"/>
    <x v="22"/>
    <d v="2026-10-06T14:43:47"/>
    <d v="2026-10-06T00:00:00"/>
    <n v="368"/>
    <d v="2024-12-31T00:00:00"/>
    <s v="Dec-24"/>
    <n v="16"/>
    <n v="4"/>
    <s v="LM"/>
  </r>
  <r>
    <s v="TRX0008"/>
    <d v="2024-12-22T00:00:00"/>
    <s v="CUST007"/>
    <s v="David Martinez"/>
    <s v="P008"/>
    <x v="2"/>
    <x v="2"/>
    <n v="3"/>
    <n v="149.99"/>
    <x v="3"/>
    <x v="2"/>
    <x v="2"/>
    <d v="2021-11-22T00:00:00"/>
    <x v="6"/>
    <d v="2026-10-06T14:43:47"/>
    <d v="2026-10-06T00:00:00"/>
    <n v="1126"/>
    <d v="2024-12-31T00:00:00"/>
    <s v="Dec-24"/>
    <n v="35"/>
    <n v="6"/>
    <s v="DM"/>
  </r>
  <r>
    <s v="TRX0171"/>
    <d v="2024-12-23T00:00:00"/>
    <s v="CUST021"/>
    <s v="Kevin Scott"/>
    <s v="P007"/>
    <x v="6"/>
    <x v="2"/>
    <n v="2"/>
    <n v="299.99"/>
    <x v="2"/>
    <x v="1"/>
    <x v="0"/>
    <d v="2022-06-09T00:00:00"/>
    <x v="31"/>
    <d v="2026-10-06T14:43:47"/>
    <d v="2026-10-06T00:00:00"/>
    <n v="928"/>
    <d v="2024-12-31T00:00:00"/>
    <s v="Dec-24"/>
    <n v="26"/>
    <n v="6"/>
    <s v="KS"/>
  </r>
  <r>
    <s v="TRX0143"/>
    <d v="2024-12-28T00:00:00"/>
    <s v="CUST003"/>
    <s v="Michael Brown"/>
    <s v="P007"/>
    <x v="6"/>
    <x v="2"/>
    <n v="2"/>
    <n v="299.99"/>
    <x v="0"/>
    <x v="3"/>
    <x v="0"/>
    <d v="2022-07-29T00:00:00"/>
    <x v="31"/>
    <d v="2026-10-06T14:43:47"/>
    <d v="2026-10-06T00:00:00"/>
    <n v="883"/>
    <d v="2024-12-31T00:00:00"/>
    <s v="Dec-24"/>
    <n v="26"/>
    <n v="9"/>
    <s v="MB"/>
  </r>
  <r>
    <s v="TRX0165"/>
    <d v="2024-12-28T00:00:00"/>
    <s v="CUST030"/>
    <s v="Helen Roberts"/>
    <s v="P006"/>
    <x v="9"/>
    <x v="2"/>
    <n v="4"/>
    <n v="199.99"/>
    <x v="1"/>
    <x v="0"/>
    <x v="0"/>
    <d v="2021-11-23T00:00:00"/>
    <x v="37"/>
    <d v="2026-10-06T14:43:47"/>
    <d v="2026-10-06T00:00:00"/>
    <n v="1131"/>
    <d v="2024-12-31T00:00:00"/>
    <s v="Dec-24"/>
    <n v="15"/>
    <n v="7"/>
    <s v="HR"/>
  </r>
  <r>
    <s v="TRX0156"/>
    <d v="2024-12-29T00:00:00"/>
    <s v="CUST009"/>
    <s v="Robert Thomas"/>
    <s v="P010"/>
    <x v="8"/>
    <x v="0"/>
    <n v="1"/>
    <n v="89.99"/>
    <x v="1"/>
    <x v="1"/>
    <x v="1"/>
    <d v="2022-01-30T00:00:00"/>
    <x v="27"/>
    <d v="2026-10-06T14:43:47"/>
    <d v="2026-10-06T00:00:00"/>
    <n v="1064"/>
    <d v="2024-12-31T00:00:00"/>
    <s v="Dec-24"/>
    <n v="34"/>
    <n v="5"/>
    <s v="RT"/>
  </r>
  <r>
    <s v="TRX0147"/>
    <d v="2024-12-29T00:00:00"/>
    <s v="CUST036"/>
    <s v="Nancy Collins"/>
    <s v="P008"/>
    <x v="2"/>
    <x v="2"/>
    <n v="5"/>
    <n v="149.99"/>
    <x v="0"/>
    <x v="0"/>
    <x v="1"/>
    <d v="2024-02-25T00:00:00"/>
    <x v="2"/>
    <d v="2026-10-06T14:43:47"/>
    <d v="2026-10-06T00:00:00"/>
    <n v="308"/>
    <d v="2024-12-31T00:00:00"/>
    <s v="Dec-24"/>
    <n v="35"/>
    <n v="6"/>
    <s v="NC"/>
  </r>
  <r>
    <s v="TRX0207"/>
    <d v="2024-12-31T00:00:00"/>
    <s v="CUST025"/>
    <s v="Mark Carter"/>
    <s v="P001"/>
    <x v="4"/>
    <x v="0"/>
    <n v="1"/>
    <n v="899.99"/>
    <x v="2"/>
    <x v="2"/>
    <x v="1"/>
    <d v="2023-05-04T00:00:00"/>
    <x v="8"/>
    <d v="2026-10-06T14:43:47"/>
    <d v="2026-10-06T00:00:00"/>
    <n v="607"/>
    <d v="2024-12-31T00:00:00"/>
    <s v="Dec-24"/>
    <n v="24"/>
    <n v="12"/>
    <s v="MC"/>
  </r>
  <r>
    <s v="TRX0056"/>
    <d v="2025-01-03T00:00:00"/>
    <s v="CUST019"/>
    <s v="Daniel King"/>
    <s v="P010"/>
    <x v="8"/>
    <x v="0"/>
    <n v="2"/>
    <n v="89.99"/>
    <x v="1"/>
    <x v="1"/>
    <x v="1"/>
    <d v="2022-01-03T00:00:00"/>
    <x v="28"/>
    <d v="2026-10-06T14:43:47"/>
    <d v="2026-10-06T00:00:00"/>
    <n v="1096"/>
    <d v="2025-01-31T00:00:00"/>
    <s v="Jan-25"/>
    <n v="34"/>
    <n v="7"/>
    <s v="DK"/>
  </r>
  <r>
    <s v="TRX0026"/>
    <d v="2025-01-04T00:00:00"/>
    <s v="CUST037"/>
    <s v="Arthur Edwards"/>
    <s v="P001"/>
    <x v="4"/>
    <x v="0"/>
    <n v="1"/>
    <n v="899.99"/>
    <x v="2"/>
    <x v="2"/>
    <x v="2"/>
    <d v="2022-07-10T00:00:00"/>
    <x v="8"/>
    <d v="2026-10-06T14:43:47"/>
    <d v="2026-10-06T00:00:00"/>
    <n v="909"/>
    <d v="2025-01-31T00:00:00"/>
    <s v="Jan-25"/>
    <n v="24"/>
    <n v="3"/>
    <s v="AE"/>
  </r>
  <r>
    <s v="TRX0237"/>
    <d v="2025-01-06T00:00:00"/>
    <s v="CUST006"/>
    <s v="Lisa Anderson"/>
    <s v="P003"/>
    <x v="3"/>
    <x v="0"/>
    <n v="5"/>
    <n v="149.99"/>
    <x v="2"/>
    <x v="4"/>
    <x v="1"/>
    <d v="2022-09-20T00:00:00"/>
    <x v="2"/>
    <d v="2026-10-06T14:43:47"/>
    <d v="2026-10-06T00:00:00"/>
    <n v="839"/>
    <d v="2025-01-31T00:00:00"/>
    <s v="Jan-25"/>
    <n v="16"/>
    <n v="5"/>
    <s v="LA"/>
  </r>
  <r>
    <s v="TRX0091"/>
    <d v="2025-01-06T00:00:00"/>
    <s v="CUST003"/>
    <s v="Michael Brown"/>
    <s v="P007"/>
    <x v="6"/>
    <x v="2"/>
    <n v="3"/>
    <n v="299.99"/>
    <x v="0"/>
    <x v="1"/>
    <x v="2"/>
    <d v="2021-08-14T00:00:00"/>
    <x v="23"/>
    <d v="2026-10-06T14:43:47"/>
    <d v="2026-10-06T00:00:00"/>
    <n v="1241"/>
    <d v="2025-01-31T00:00:00"/>
    <s v="Jan-25"/>
    <n v="26"/>
    <n v="9"/>
    <s v="MB"/>
  </r>
  <r>
    <s v="TRX0125"/>
    <d v="2025-01-09T00:00:00"/>
    <s v="CUST026"/>
    <s v="Karen Hill"/>
    <s v="P002"/>
    <x v="5"/>
    <x v="0"/>
    <n v="3"/>
    <n v="699.99"/>
    <x v="1"/>
    <x v="0"/>
    <x v="1"/>
    <d v="2023-06-28T00:00:00"/>
    <x v="7"/>
    <d v="2026-10-06T14:43:47"/>
    <d v="2026-10-06T00:00:00"/>
    <n v="561"/>
    <d v="2025-01-31T00:00:00"/>
    <s v="Jan-25"/>
    <n v="31"/>
    <n v="8"/>
    <s v="KH"/>
  </r>
  <r>
    <s v="TRX0223"/>
    <d v="2025-01-10T00:00:00"/>
    <s v="CUST036"/>
    <s v="Nancy Collins"/>
    <s v="P006"/>
    <x v="9"/>
    <x v="2"/>
    <n v="5"/>
    <n v="199.99"/>
    <x v="2"/>
    <x v="0"/>
    <x v="2"/>
    <d v="2022-03-13T00:00:00"/>
    <x v="21"/>
    <d v="2026-10-06T14:43:47"/>
    <d v="2026-10-06T00:00:00"/>
    <n v="1034"/>
    <d v="2025-01-31T00:00:00"/>
    <s v="Jan-25"/>
    <n v="15"/>
    <n v="6"/>
    <s v="NC"/>
  </r>
  <r>
    <s v="TRX0243"/>
    <d v="2025-01-10T00:00:00"/>
    <s v="CUST048"/>
    <s v="Virginia Sanders"/>
    <s v="P009"/>
    <x v="0"/>
    <x v="0"/>
    <n v="5"/>
    <n v="249.99"/>
    <x v="1"/>
    <x v="1"/>
    <x v="0"/>
    <d v="2024-02-08T00:00:00"/>
    <x v="16"/>
    <d v="2026-10-06T14:43:47"/>
    <d v="2026-10-06T00:00:00"/>
    <n v="337"/>
    <d v="2025-01-31T00:00:00"/>
    <s v="Jan-25"/>
    <n v="26"/>
    <n v="6"/>
    <s v="VS"/>
  </r>
  <r>
    <s v="TRX0084"/>
    <d v="2025-01-11T00:00:00"/>
    <s v="CUST031"/>
    <s v="Steven Turner"/>
    <s v="P003"/>
    <x v="3"/>
    <x v="0"/>
    <n v="4"/>
    <n v="149.99"/>
    <x v="3"/>
    <x v="4"/>
    <x v="2"/>
    <d v="2021-12-06T00:00:00"/>
    <x v="9"/>
    <d v="2026-10-06T14:43:47"/>
    <d v="2026-10-06T00:00:00"/>
    <n v="1132"/>
    <d v="2025-01-31T00:00:00"/>
    <s v="Jan-25"/>
    <n v="16"/>
    <n v="6"/>
    <s v="ST"/>
  </r>
  <r>
    <s v="TRX0238"/>
    <d v="2025-01-11T00:00:00"/>
    <s v="CUST038"/>
    <s v="Michelle Rogers"/>
    <s v="P002"/>
    <x v="5"/>
    <x v="0"/>
    <n v="3"/>
    <n v="699.99"/>
    <x v="0"/>
    <x v="2"/>
    <x v="1"/>
    <d v="2022-02-10T00:00:00"/>
    <x v="7"/>
    <d v="2026-10-06T14:43:47"/>
    <d v="2026-10-06T00:00:00"/>
    <n v="1066"/>
    <d v="2025-01-31T00:00:00"/>
    <s v="Jan-25"/>
    <n v="31"/>
    <n v="2"/>
    <s v="MR"/>
  </r>
  <r>
    <s v="TRX0102"/>
    <d v="2025-01-13T00:00:00"/>
    <s v="CUST045"/>
    <s v="Douglas Watson"/>
    <s v="P004"/>
    <x v="7"/>
    <x v="1"/>
    <n v="1"/>
    <n v="79.989999999999995"/>
    <x v="1"/>
    <x v="1"/>
    <x v="0"/>
    <d v="2024-01-31T00:00:00"/>
    <x v="26"/>
    <d v="2026-10-06T14:43:47"/>
    <d v="2026-10-06T00:00:00"/>
    <n v="348"/>
    <d v="2025-01-31T00:00:00"/>
    <s v="Jan-25"/>
    <n v="14"/>
    <n v="4"/>
    <s v="DW"/>
  </r>
  <r>
    <s v="TRX0022"/>
    <d v="2025-01-13T00:00:00"/>
    <s v="CUST025"/>
    <s v="Mark Carter"/>
    <s v="P007"/>
    <x v="6"/>
    <x v="2"/>
    <n v="1"/>
    <n v="299.99"/>
    <x v="1"/>
    <x v="2"/>
    <x v="0"/>
    <d v="2021-08-28T00:00:00"/>
    <x v="34"/>
    <d v="2026-10-06T14:43:47"/>
    <d v="2026-10-06T00:00:00"/>
    <n v="1234"/>
    <d v="2025-01-31T00:00:00"/>
    <s v="Jan-25"/>
    <n v="26"/>
    <n v="12"/>
    <s v="MC"/>
  </r>
  <r>
    <s v="TRX0087"/>
    <d v="2025-01-14T00:00:00"/>
    <s v="CUST028"/>
    <s v="Betty Campbell"/>
    <s v="P009"/>
    <x v="0"/>
    <x v="0"/>
    <n v="4"/>
    <n v="249.99"/>
    <x v="1"/>
    <x v="2"/>
    <x v="1"/>
    <d v="2021-09-21T00:00:00"/>
    <x v="14"/>
    <d v="2026-10-06T14:43:47"/>
    <d v="2026-10-06T00:00:00"/>
    <n v="1211"/>
    <d v="2025-01-31T00:00:00"/>
    <s v="Jan-25"/>
    <n v="26"/>
    <n v="5"/>
    <s v="BC"/>
  </r>
  <r>
    <s v="TRX0107"/>
    <d v="2025-01-14T00:00:00"/>
    <s v="CUST030"/>
    <s v="Helen Roberts"/>
    <s v="P003"/>
    <x v="3"/>
    <x v="0"/>
    <n v="2"/>
    <n v="149.99"/>
    <x v="0"/>
    <x v="2"/>
    <x v="2"/>
    <d v="2022-12-18T00:00:00"/>
    <x v="22"/>
    <d v="2026-10-06T14:43:47"/>
    <d v="2026-10-06T00:00:00"/>
    <n v="758"/>
    <d v="2025-01-31T00:00:00"/>
    <s v="Jan-25"/>
    <n v="16"/>
    <n v="7"/>
    <s v="HR"/>
  </r>
  <r>
    <s v="TRX0051"/>
    <d v="2025-01-14T00:00:00"/>
    <s v="CUST032"/>
    <s v="Sandra Phillips"/>
    <s v="P007"/>
    <x v="6"/>
    <x v="2"/>
    <n v="3"/>
    <n v="299.99"/>
    <x v="1"/>
    <x v="1"/>
    <x v="0"/>
    <d v="2023-10-05T00:00:00"/>
    <x v="23"/>
    <d v="2026-10-06T14:43:47"/>
    <d v="2026-10-06T00:00:00"/>
    <n v="467"/>
    <d v="2025-01-31T00:00:00"/>
    <s v="Jan-25"/>
    <n v="26"/>
    <n v="5"/>
    <s v="SP"/>
  </r>
  <r>
    <s v="TRX0106"/>
    <d v="2025-01-16T00:00:00"/>
    <s v="CUST039"/>
    <s v="Lawrence Reed"/>
    <s v="P006"/>
    <x v="9"/>
    <x v="2"/>
    <n v="4"/>
    <n v="199.99"/>
    <x v="3"/>
    <x v="1"/>
    <x v="2"/>
    <d v="2021-12-14T00:00:00"/>
    <x v="37"/>
    <d v="2026-10-06T14:43:47"/>
    <d v="2026-10-06T00:00:00"/>
    <n v="1129"/>
    <d v="2025-01-31T00:00:00"/>
    <s v="Jan-25"/>
    <n v="15"/>
    <n v="8"/>
    <s v="LR"/>
  </r>
  <r>
    <s v="TRX0059"/>
    <d v="2025-01-16T00:00:00"/>
    <s v="CUST016"/>
    <s v="Elizabeth Hall"/>
    <s v="P007"/>
    <x v="6"/>
    <x v="2"/>
    <n v="5"/>
    <n v="299.99"/>
    <x v="3"/>
    <x v="0"/>
    <x v="0"/>
    <d v="2021-08-23T00:00:00"/>
    <x v="17"/>
    <d v="2026-10-06T14:43:47"/>
    <d v="2026-10-06T00:00:00"/>
    <n v="1242"/>
    <d v="2025-01-31T00:00:00"/>
    <s v="Jan-25"/>
    <n v="26"/>
    <n v="4"/>
    <s v="EH"/>
  </r>
  <r>
    <s v="TRX0072"/>
    <d v="2025-01-16T00:00:00"/>
    <s v="CUST009"/>
    <s v="Robert Thomas"/>
    <s v="P008"/>
    <x v="2"/>
    <x v="2"/>
    <n v="3"/>
    <n v="149.99"/>
    <x v="1"/>
    <x v="4"/>
    <x v="2"/>
    <d v="2021-07-18T00:00:00"/>
    <x v="6"/>
    <d v="2026-10-06T14:43:47"/>
    <d v="2026-10-06T00:00:00"/>
    <n v="1278"/>
    <d v="2025-01-31T00:00:00"/>
    <s v="Jan-25"/>
    <n v="35"/>
    <n v="5"/>
    <s v="RT"/>
  </r>
  <r>
    <s v="TRX0110"/>
    <d v="2025-01-19T00:00:00"/>
    <s v="CUST006"/>
    <s v="Lisa Anderson"/>
    <s v="P005"/>
    <x v="1"/>
    <x v="1"/>
    <n v="5"/>
    <n v="59.99"/>
    <x v="3"/>
    <x v="4"/>
    <x v="0"/>
    <d v="2022-03-22T00:00:00"/>
    <x v="42"/>
    <d v="2026-10-06T14:43:47"/>
    <d v="2026-10-06T00:00:00"/>
    <n v="1034"/>
    <d v="2025-01-31T00:00:00"/>
    <s v="Jan-25"/>
    <n v="29"/>
    <n v="5"/>
    <s v="LA"/>
  </r>
  <r>
    <s v="TRX0126"/>
    <d v="2025-01-25T00:00:00"/>
    <s v="CUST022"/>
    <s v="Susan Green"/>
    <s v="P005"/>
    <x v="1"/>
    <x v="1"/>
    <n v="4"/>
    <n v="59.99"/>
    <x v="3"/>
    <x v="4"/>
    <x v="2"/>
    <d v="2022-01-03T00:00:00"/>
    <x v="20"/>
    <d v="2026-10-06T14:43:47"/>
    <d v="2026-10-06T00:00:00"/>
    <n v="1118"/>
    <d v="2025-01-31T00:00:00"/>
    <s v="Jan-25"/>
    <n v="29"/>
    <n v="4"/>
    <s v="SG"/>
  </r>
  <r>
    <s v="TRX0159"/>
    <d v="2025-01-26T00:00:00"/>
    <s v="CUST024"/>
    <s v="Dorothy Nelson"/>
    <s v="P009"/>
    <x v="0"/>
    <x v="0"/>
    <n v="4"/>
    <n v="249.99"/>
    <x v="3"/>
    <x v="0"/>
    <x v="1"/>
    <d v="2023-10-18T00:00:00"/>
    <x v="14"/>
    <d v="2026-10-06T14:43:47"/>
    <d v="2026-10-06T00:00:00"/>
    <n v="466"/>
    <d v="2025-01-31T00:00:00"/>
    <s v="Jan-25"/>
    <n v="26"/>
    <n v="6"/>
    <s v="DN"/>
  </r>
  <r>
    <s v="TRX0030"/>
    <d v="2025-01-29T00:00:00"/>
    <s v="CUST011"/>
    <s v="William White"/>
    <s v="P001"/>
    <x v="4"/>
    <x v="0"/>
    <n v="4"/>
    <n v="899.99"/>
    <x v="2"/>
    <x v="0"/>
    <x v="0"/>
    <d v="2022-06-22T00:00:00"/>
    <x v="11"/>
    <d v="2026-10-06T14:43:47"/>
    <d v="2026-10-06T00:00:00"/>
    <n v="952"/>
    <d v="2025-01-31T00:00:00"/>
    <s v="Jan-25"/>
    <n v="24"/>
    <n v="3"/>
    <s v="WW"/>
  </r>
  <r>
    <s v="TRX0178"/>
    <d v="2025-01-29T00:00:00"/>
    <s v="CUST025"/>
    <s v="Mark Carter"/>
    <s v="P007"/>
    <x v="6"/>
    <x v="2"/>
    <n v="3"/>
    <n v="299.99"/>
    <x v="3"/>
    <x v="3"/>
    <x v="2"/>
    <d v="2023-01-26T00:00:00"/>
    <x v="23"/>
    <d v="2026-10-06T14:43:47"/>
    <d v="2026-10-06T00:00:00"/>
    <n v="734"/>
    <d v="2025-01-31T00:00:00"/>
    <s v="Jan-25"/>
    <n v="26"/>
    <n v="12"/>
    <s v="MC"/>
  </r>
  <r>
    <s v="TRX0188"/>
    <d v="2025-01-29T00:00:00"/>
    <s v="CUST045"/>
    <s v="Douglas Watson"/>
    <s v="P002"/>
    <x v="5"/>
    <x v="0"/>
    <n v="2"/>
    <n v="699.99"/>
    <x v="3"/>
    <x v="0"/>
    <x v="1"/>
    <d v="2022-04-30T00:00:00"/>
    <x v="10"/>
    <d v="2026-10-06T14:43:47"/>
    <d v="2026-10-06T00:00:00"/>
    <n v="1005"/>
    <d v="2025-01-31T00:00:00"/>
    <s v="Jan-25"/>
    <n v="31"/>
    <n v="4"/>
    <s v="DW"/>
  </r>
  <r>
    <s v="TRX0010"/>
    <d v="2025-01-31T00:00:00"/>
    <s v="CUST026"/>
    <s v="Karen Hill"/>
    <s v="P002"/>
    <x v="5"/>
    <x v="0"/>
    <n v="4"/>
    <n v="699.99"/>
    <x v="3"/>
    <x v="3"/>
    <x v="1"/>
    <d v="2022-05-11T00:00:00"/>
    <x v="13"/>
    <d v="2026-10-06T14:43:47"/>
    <d v="2026-10-06T00:00:00"/>
    <n v="996"/>
    <d v="2025-01-31T00:00:00"/>
    <s v="Jan-25"/>
    <n v="31"/>
    <n v="8"/>
    <s v="KH"/>
  </r>
  <r>
    <s v="TRX0069"/>
    <d v="2025-01-31T00:00:00"/>
    <s v="CUST029"/>
    <s v="Edward Mitchell"/>
    <s v="P010"/>
    <x v="8"/>
    <x v="0"/>
    <n v="2"/>
    <n v="89.99"/>
    <x v="3"/>
    <x v="1"/>
    <x v="0"/>
    <d v="2022-08-04T00:00:00"/>
    <x v="28"/>
    <d v="2026-10-06T14:43:47"/>
    <d v="2026-10-06T00:00:00"/>
    <n v="911"/>
    <d v="2025-01-31T00:00:00"/>
    <s v="Jan-25"/>
    <n v="34"/>
    <n v="6"/>
    <s v="EM"/>
  </r>
  <r>
    <s v="TRX0166"/>
    <d v="2025-01-31T00:00:00"/>
    <s v="CUST003"/>
    <s v="Michael Brown"/>
    <s v="P010"/>
    <x v="8"/>
    <x v="0"/>
    <n v="3"/>
    <n v="89.99"/>
    <x v="3"/>
    <x v="1"/>
    <x v="1"/>
    <d v="2024-01-16T00:00:00"/>
    <x v="25"/>
    <d v="2026-10-06T14:43:47"/>
    <d v="2026-10-06T00:00:00"/>
    <n v="381"/>
    <d v="2025-01-31T00:00:00"/>
    <s v="Jan-25"/>
    <n v="34"/>
    <n v="9"/>
    <s v="MB"/>
  </r>
  <r>
    <s v="TRX0219"/>
    <d v="2025-02-04T00:00:00"/>
    <s v="CUST037"/>
    <s v="Arthur Edwards"/>
    <s v="P005"/>
    <x v="1"/>
    <x v="1"/>
    <n v="1"/>
    <n v="59.99"/>
    <x v="3"/>
    <x v="0"/>
    <x v="2"/>
    <d v="2023-04-29T00:00:00"/>
    <x v="30"/>
    <d v="2026-10-06T14:43:47"/>
    <d v="2026-10-06T00:00:00"/>
    <n v="647"/>
    <d v="2025-02-28T00:00:00"/>
    <s v="Feb-25"/>
    <n v="29"/>
    <n v="3"/>
    <s v="AE"/>
  </r>
  <r>
    <s v="TRX0024"/>
    <d v="2025-02-07T00:00:00"/>
    <s v="CUST042"/>
    <s v="Ruth Brooks"/>
    <s v="P008"/>
    <x v="2"/>
    <x v="2"/>
    <n v="3"/>
    <n v="149.99"/>
    <x v="3"/>
    <x v="2"/>
    <x v="1"/>
    <d v="2022-01-03T00:00:00"/>
    <x v="6"/>
    <d v="2026-10-06T14:43:47"/>
    <d v="2026-10-06T00:00:00"/>
    <n v="1131"/>
    <d v="2025-02-28T00:00:00"/>
    <s v="Feb-25"/>
    <n v="35"/>
    <n v="3"/>
    <s v="RB"/>
  </r>
  <r>
    <s v="TRX0105"/>
    <d v="2025-02-07T00:00:00"/>
    <s v="CUST048"/>
    <s v="Virginia Sanders"/>
    <s v="P007"/>
    <x v="6"/>
    <x v="2"/>
    <n v="5"/>
    <n v="299.99"/>
    <x v="1"/>
    <x v="1"/>
    <x v="0"/>
    <d v="2023-02-02T00:00:00"/>
    <x v="17"/>
    <d v="2026-10-06T14:43:47"/>
    <d v="2026-10-06T00:00:00"/>
    <n v="736"/>
    <d v="2025-02-28T00:00:00"/>
    <s v="Feb-25"/>
    <n v="26"/>
    <n v="6"/>
    <s v="VS"/>
  </r>
  <r>
    <s v="TRX0011"/>
    <d v="2025-02-08T00:00:00"/>
    <s v="CUST040"/>
    <s v="Sharon Butler"/>
    <s v="P005"/>
    <x v="1"/>
    <x v="1"/>
    <n v="5"/>
    <n v="59.99"/>
    <x v="3"/>
    <x v="0"/>
    <x v="2"/>
    <d v="2023-09-08T00:00:00"/>
    <x v="42"/>
    <d v="2026-10-06T14:43:47"/>
    <d v="2026-10-06T00:00:00"/>
    <n v="519"/>
    <d v="2025-02-28T00:00:00"/>
    <s v="Feb-25"/>
    <n v="29"/>
    <n v="6"/>
    <s v="SB"/>
  </r>
  <r>
    <s v="TRX0187"/>
    <d v="2025-02-13T00:00:00"/>
    <s v="CUST036"/>
    <s v="Nancy Collins"/>
    <s v="P004"/>
    <x v="7"/>
    <x v="1"/>
    <n v="3"/>
    <n v="79.989999999999995"/>
    <x v="0"/>
    <x v="4"/>
    <x v="1"/>
    <d v="2021-08-28T00:00:00"/>
    <x v="18"/>
    <d v="2026-10-06T14:43:47"/>
    <d v="2026-10-06T00:00:00"/>
    <n v="1265"/>
    <d v="2025-02-28T00:00:00"/>
    <s v="Feb-25"/>
    <n v="14"/>
    <n v="6"/>
    <s v="NC"/>
  </r>
  <r>
    <s v="TRX0089"/>
    <d v="2025-02-16T00:00:00"/>
    <s v="CUST021"/>
    <s v="Kevin Scott"/>
    <s v="P006"/>
    <x v="9"/>
    <x v="2"/>
    <n v="3"/>
    <n v="199.99"/>
    <x v="0"/>
    <x v="0"/>
    <x v="0"/>
    <d v="2022-06-23T00:00:00"/>
    <x v="24"/>
    <d v="2026-10-06T14:43:47"/>
    <d v="2026-10-06T00:00:00"/>
    <n v="969"/>
    <d v="2025-02-28T00:00:00"/>
    <s v="Feb-25"/>
    <n v="15"/>
    <n v="6"/>
    <s v="KS"/>
  </r>
  <r>
    <s v="TRX0196"/>
    <d v="2025-02-16T00:00:00"/>
    <s v="CUST023"/>
    <s v="Paul Baker"/>
    <s v="P010"/>
    <x v="8"/>
    <x v="0"/>
    <n v="2"/>
    <n v="89.99"/>
    <x v="2"/>
    <x v="0"/>
    <x v="0"/>
    <d v="2023-11-27T00:00:00"/>
    <x v="28"/>
    <d v="2026-10-06T14:43:47"/>
    <d v="2026-10-06T00:00:00"/>
    <n v="447"/>
    <d v="2025-02-28T00:00:00"/>
    <s v="Feb-25"/>
    <n v="34"/>
    <n v="8"/>
    <s v="PB"/>
  </r>
  <r>
    <s v="TRX0118"/>
    <d v="2025-02-17T00:00:00"/>
    <s v="CUST015"/>
    <s v="Richard Lee"/>
    <s v="P008"/>
    <x v="2"/>
    <x v="2"/>
    <n v="2"/>
    <n v="149.99"/>
    <x v="0"/>
    <x v="1"/>
    <x v="1"/>
    <d v="2022-06-16T00:00:00"/>
    <x v="22"/>
    <d v="2026-10-06T14:43:47"/>
    <d v="2026-10-06T00:00:00"/>
    <n v="977"/>
    <d v="2025-02-28T00:00:00"/>
    <s v="Feb-25"/>
    <n v="35"/>
    <n v="3"/>
    <s v="RL"/>
  </r>
  <r>
    <s v="TRX0179"/>
    <d v="2025-02-19T00:00:00"/>
    <s v="CUST029"/>
    <s v="Edward Mitchell"/>
    <s v="P002"/>
    <x v="5"/>
    <x v="0"/>
    <n v="5"/>
    <n v="699.99"/>
    <x v="2"/>
    <x v="1"/>
    <x v="1"/>
    <d v="2024-03-01T00:00:00"/>
    <x v="12"/>
    <d v="2026-10-06T14:43:47"/>
    <d v="2026-10-06T00:00:00"/>
    <n v="355"/>
    <d v="2025-02-28T00:00:00"/>
    <s v="Feb-25"/>
    <n v="31"/>
    <n v="6"/>
    <s v="EM"/>
  </r>
  <r>
    <s v="TRX0168"/>
    <d v="2025-02-19T00:00:00"/>
    <s v="CUST003"/>
    <s v="Michael Brown"/>
    <s v="P008"/>
    <x v="2"/>
    <x v="2"/>
    <n v="3"/>
    <n v="149.99"/>
    <x v="2"/>
    <x v="0"/>
    <x v="2"/>
    <d v="2022-03-13T00:00:00"/>
    <x v="6"/>
    <d v="2026-10-06T14:43:47"/>
    <d v="2026-10-06T00:00:00"/>
    <n v="1074"/>
    <d v="2025-02-28T00:00:00"/>
    <s v="Feb-25"/>
    <n v="35"/>
    <n v="9"/>
    <s v="MB"/>
  </r>
  <r>
    <s v="TRX0214"/>
    <d v="2025-02-20T00:00:00"/>
    <s v="CUST018"/>
    <s v="Barbara Young"/>
    <s v="P001"/>
    <x v="4"/>
    <x v="0"/>
    <n v="3"/>
    <n v="899.99"/>
    <x v="0"/>
    <x v="4"/>
    <x v="2"/>
    <d v="2022-02-21T00:00:00"/>
    <x v="4"/>
    <d v="2026-10-06T14:43:47"/>
    <d v="2026-10-06T00:00:00"/>
    <n v="1095"/>
    <d v="2025-02-28T00:00:00"/>
    <s v="Feb-25"/>
    <n v="24"/>
    <n v="5"/>
    <s v="BY"/>
  </r>
  <r>
    <s v="TRX0221"/>
    <d v="2025-02-20T00:00:00"/>
    <s v="CUST033"/>
    <s v="Frank Torres"/>
    <s v="P006"/>
    <x v="9"/>
    <x v="2"/>
    <n v="3"/>
    <n v="199.99"/>
    <x v="0"/>
    <x v="3"/>
    <x v="1"/>
    <d v="2022-09-19T00:00:00"/>
    <x v="24"/>
    <d v="2026-10-06T14:43:47"/>
    <d v="2026-10-06T00:00:00"/>
    <n v="885"/>
    <d v="2025-02-28T00:00:00"/>
    <s v="Feb-25"/>
    <n v="15"/>
    <n v="5"/>
    <s v="FT"/>
  </r>
  <r>
    <s v="TRX0083"/>
    <d v="2025-02-22T00:00:00"/>
    <s v="CUST017"/>
    <s v="Charles Allen"/>
    <s v="P007"/>
    <x v="6"/>
    <x v="2"/>
    <n v="5"/>
    <n v="299.99"/>
    <x v="0"/>
    <x v="3"/>
    <x v="2"/>
    <d v="2023-08-04T00:00:00"/>
    <x v="17"/>
    <d v="2026-10-06T14:43:47"/>
    <d v="2026-10-06T00:00:00"/>
    <n v="568"/>
    <d v="2025-02-28T00:00:00"/>
    <s v="Feb-25"/>
    <n v="26"/>
    <n v="9"/>
    <s v="CA"/>
  </r>
  <r>
    <s v="TRX0151"/>
    <d v="2025-02-22T00:00:00"/>
    <s v="CUST040"/>
    <s v="Sharon Butler"/>
    <s v="P002"/>
    <x v="5"/>
    <x v="0"/>
    <n v="1"/>
    <n v="699.99"/>
    <x v="2"/>
    <x v="3"/>
    <x v="0"/>
    <d v="2023-01-08T00:00:00"/>
    <x v="38"/>
    <d v="2026-10-06T14:43:47"/>
    <d v="2026-10-06T00:00:00"/>
    <n v="776"/>
    <d v="2025-02-28T00:00:00"/>
    <s v="Feb-25"/>
    <n v="31"/>
    <n v="6"/>
    <s v="SB"/>
  </r>
  <r>
    <s v="TRX0047"/>
    <d v="2025-02-23T00:00:00"/>
    <s v="CUST042"/>
    <s v="Ruth Brooks"/>
    <s v="P002"/>
    <x v="5"/>
    <x v="0"/>
    <n v="1"/>
    <n v="699.99"/>
    <x v="0"/>
    <x v="2"/>
    <x v="1"/>
    <d v="2022-01-22T00:00:00"/>
    <x v="38"/>
    <d v="2026-10-06T14:43:47"/>
    <d v="2026-10-06T00:00:00"/>
    <n v="1128"/>
    <d v="2025-02-28T00:00:00"/>
    <s v="Feb-25"/>
    <n v="31"/>
    <n v="3"/>
    <s v="RB"/>
  </r>
  <r>
    <s v="TRX0200"/>
    <d v="2025-02-23T00:00:00"/>
    <s v="CUST037"/>
    <s v="Arthur Edwards"/>
    <s v="P008"/>
    <x v="2"/>
    <x v="2"/>
    <n v="4"/>
    <n v="149.99"/>
    <x v="2"/>
    <x v="2"/>
    <x v="1"/>
    <d v="2021-08-04T00:00:00"/>
    <x v="9"/>
    <d v="2026-10-06T14:43:47"/>
    <d v="2026-10-06T00:00:00"/>
    <n v="1299"/>
    <d v="2025-02-28T00:00:00"/>
    <s v="Feb-25"/>
    <n v="35"/>
    <n v="3"/>
    <s v="AE"/>
  </r>
  <r>
    <s v="TRX0062"/>
    <d v="2025-02-23T00:00:00"/>
    <s v="CUST016"/>
    <s v="Elizabeth Hall"/>
    <s v="P010"/>
    <x v="8"/>
    <x v="0"/>
    <n v="5"/>
    <n v="89.99"/>
    <x v="2"/>
    <x v="3"/>
    <x v="1"/>
    <d v="2023-08-02T00:00:00"/>
    <x v="19"/>
    <d v="2026-10-06T14:43:47"/>
    <d v="2026-10-06T00:00:00"/>
    <n v="571"/>
    <d v="2025-02-28T00:00:00"/>
    <s v="Feb-25"/>
    <n v="34"/>
    <n v="4"/>
    <s v="EH"/>
  </r>
  <r>
    <s v="TRX0182"/>
    <d v="2025-02-24T00:00:00"/>
    <s v="CUST031"/>
    <s v="Steven Turner"/>
    <s v="P006"/>
    <x v="9"/>
    <x v="2"/>
    <n v="2"/>
    <n v="199.99"/>
    <x v="0"/>
    <x v="0"/>
    <x v="1"/>
    <d v="2022-01-12T00:00:00"/>
    <x v="35"/>
    <d v="2026-10-06T14:43:47"/>
    <d v="2026-10-06T00:00:00"/>
    <n v="1139"/>
    <d v="2025-02-28T00:00:00"/>
    <s v="Feb-25"/>
    <n v="15"/>
    <n v="6"/>
    <s v="ST"/>
  </r>
  <r>
    <s v="TRX0229"/>
    <d v="2025-02-27T00:00:00"/>
    <s v="CUST015"/>
    <s v="Richard Lee"/>
    <s v="P005"/>
    <x v="1"/>
    <x v="1"/>
    <n v="4"/>
    <n v="59.99"/>
    <x v="0"/>
    <x v="3"/>
    <x v="2"/>
    <d v="2023-05-24T00:00:00"/>
    <x v="20"/>
    <d v="2026-10-06T14:43:47"/>
    <d v="2026-10-06T00:00:00"/>
    <n v="645"/>
    <d v="2025-02-28T00:00:00"/>
    <s v="Feb-25"/>
    <n v="29"/>
    <n v="3"/>
    <s v="RL"/>
  </r>
  <r>
    <s v="TRX0048"/>
    <d v="2025-02-27T00:00:00"/>
    <s v="CUST048"/>
    <s v="Virginia Sanders"/>
    <s v="P007"/>
    <x v="6"/>
    <x v="2"/>
    <n v="2"/>
    <n v="299.99"/>
    <x v="2"/>
    <x v="1"/>
    <x v="0"/>
    <d v="2022-01-15T00:00:00"/>
    <x v="31"/>
    <d v="2026-10-06T14:43:47"/>
    <d v="2026-10-06T00:00:00"/>
    <n v="1139"/>
    <d v="2025-02-28T00:00:00"/>
    <s v="Feb-25"/>
    <n v="26"/>
    <n v="6"/>
    <s v="VS"/>
  </r>
  <r>
    <s v="TRX0227"/>
    <d v="2025-03-02T00:00:00"/>
    <s v="CUST017"/>
    <s v="Charles Allen"/>
    <s v="P008"/>
    <x v="2"/>
    <x v="2"/>
    <n v="2"/>
    <n v="149.99"/>
    <x v="0"/>
    <x v="0"/>
    <x v="0"/>
    <d v="2023-05-22T00:00:00"/>
    <x v="22"/>
    <d v="2026-10-06T14:43:47"/>
    <d v="2026-10-06T00:00:00"/>
    <n v="650"/>
    <d v="2025-03-31T00:00:00"/>
    <s v="Mar-25"/>
    <n v="35"/>
    <n v="9"/>
    <s v="CA"/>
  </r>
  <r>
    <s v="TRX0226"/>
    <d v="2025-03-04T00:00:00"/>
    <s v="CUST039"/>
    <s v="Lawrence Reed"/>
    <s v="P002"/>
    <x v="5"/>
    <x v="0"/>
    <n v="5"/>
    <n v="699.99"/>
    <x v="3"/>
    <x v="4"/>
    <x v="1"/>
    <d v="2023-08-23T00:00:00"/>
    <x v="12"/>
    <d v="2026-10-06T14:43:47"/>
    <d v="2026-10-06T00:00:00"/>
    <n v="559"/>
    <d v="2025-03-31T00:00:00"/>
    <s v="Mar-25"/>
    <n v="31"/>
    <n v="8"/>
    <s v="LR"/>
  </r>
  <r>
    <s v="TRX0053"/>
    <d v="2025-03-05T00:00:00"/>
    <s v="CUST043"/>
    <s v="Dennis Gray"/>
    <s v="P005"/>
    <x v="1"/>
    <x v="1"/>
    <n v="5"/>
    <n v="59.99"/>
    <x v="0"/>
    <x v="3"/>
    <x v="1"/>
    <d v="2023-12-31T00:00:00"/>
    <x v="42"/>
    <d v="2026-10-06T14:43:47"/>
    <d v="2026-10-06T00:00:00"/>
    <n v="430"/>
    <d v="2025-03-31T00:00:00"/>
    <s v="Mar-25"/>
    <n v="29"/>
    <n v="2"/>
    <s v="DG"/>
  </r>
  <r>
    <s v="TRX0233"/>
    <d v="2025-03-07T00:00:00"/>
    <s v="CUST023"/>
    <s v="Paul Baker"/>
    <s v="P010"/>
    <x v="8"/>
    <x v="0"/>
    <n v="2"/>
    <n v="89.99"/>
    <x v="1"/>
    <x v="3"/>
    <x v="1"/>
    <d v="2024-01-04T00:00:00"/>
    <x v="28"/>
    <d v="2026-10-06T14:43:47"/>
    <d v="2026-10-06T00:00:00"/>
    <n v="428"/>
    <d v="2025-03-31T00:00:00"/>
    <s v="Mar-25"/>
    <n v="34"/>
    <n v="8"/>
    <s v="PB"/>
  </r>
  <r>
    <s v="TRX0175"/>
    <d v="2025-03-07T00:00:00"/>
    <s v="CUST030"/>
    <s v="Helen Roberts"/>
    <s v="P009"/>
    <x v="0"/>
    <x v="0"/>
    <n v="5"/>
    <n v="249.99"/>
    <x v="0"/>
    <x v="4"/>
    <x v="2"/>
    <d v="2021-12-10T00:00:00"/>
    <x v="16"/>
    <d v="2026-10-06T14:43:47"/>
    <d v="2026-10-06T00:00:00"/>
    <n v="1183"/>
    <d v="2025-03-31T00:00:00"/>
    <s v="Mar-25"/>
    <n v="26"/>
    <n v="7"/>
    <s v="HR"/>
  </r>
  <r>
    <s v="TRX0186"/>
    <d v="2025-03-08T00:00:00"/>
    <s v="CUST039"/>
    <s v="Lawrence Reed"/>
    <s v="P008"/>
    <x v="2"/>
    <x v="2"/>
    <n v="2"/>
    <n v="149.99"/>
    <x v="2"/>
    <x v="0"/>
    <x v="1"/>
    <d v="2022-03-12T00:00:00"/>
    <x v="22"/>
    <d v="2026-10-06T14:43:47"/>
    <d v="2026-10-06T00:00:00"/>
    <n v="1092"/>
    <d v="2025-03-31T00:00:00"/>
    <s v="Mar-25"/>
    <n v="35"/>
    <n v="8"/>
    <s v="LR"/>
  </r>
  <r>
    <s v="TRX0016"/>
    <d v="2025-03-08T00:00:00"/>
    <s v="CUST035"/>
    <s v="Harry Morgan"/>
    <s v="P001"/>
    <x v="4"/>
    <x v="0"/>
    <n v="5"/>
    <n v="899.99"/>
    <x v="2"/>
    <x v="4"/>
    <x v="1"/>
    <d v="2024-04-07T00:00:00"/>
    <x v="29"/>
    <d v="2026-10-06T14:43:47"/>
    <d v="2026-10-06T00:00:00"/>
    <n v="335"/>
    <d v="2025-03-31T00:00:00"/>
    <s v="Mar-25"/>
    <n v="24"/>
    <n v="4"/>
    <s v="HM"/>
  </r>
  <r>
    <s v="TRX0199"/>
    <d v="2025-03-08T00:00:00"/>
    <s v="CUST017"/>
    <s v="Charles Allen"/>
    <s v="P008"/>
    <x v="2"/>
    <x v="2"/>
    <n v="4"/>
    <n v="149.99"/>
    <x v="0"/>
    <x v="0"/>
    <x v="2"/>
    <d v="2023-12-03T00:00:00"/>
    <x v="9"/>
    <d v="2026-10-06T14:43:47"/>
    <d v="2026-10-06T00:00:00"/>
    <n v="461"/>
    <d v="2025-03-31T00:00:00"/>
    <s v="Mar-25"/>
    <n v="35"/>
    <n v="9"/>
    <s v="CA"/>
  </r>
  <r>
    <s v="TRX0038"/>
    <d v="2025-03-10T00:00:00"/>
    <s v="CUST035"/>
    <s v="Harry Morgan"/>
    <s v="P009"/>
    <x v="0"/>
    <x v="0"/>
    <n v="1"/>
    <n v="249.99"/>
    <x v="0"/>
    <x v="2"/>
    <x v="2"/>
    <d v="2023-07-10T00:00:00"/>
    <x v="39"/>
    <d v="2026-10-06T14:43:47"/>
    <d v="2026-10-06T00:00:00"/>
    <n v="609"/>
    <d v="2025-03-31T00:00:00"/>
    <s v="Mar-25"/>
    <n v="26"/>
    <n v="4"/>
    <s v="HM"/>
  </r>
  <r>
    <s v="TRX0014"/>
    <d v="2025-03-18T00:00:00"/>
    <s v="CUST033"/>
    <s v="Frank Torres"/>
    <s v="P005"/>
    <x v="1"/>
    <x v="1"/>
    <n v="2"/>
    <n v="59.99"/>
    <x v="1"/>
    <x v="3"/>
    <x v="0"/>
    <d v="2023-09-24T00:00:00"/>
    <x v="3"/>
    <d v="2026-10-06T14:43:47"/>
    <d v="2026-10-06T00:00:00"/>
    <n v="541"/>
    <d v="2025-03-31T00:00:00"/>
    <s v="Mar-25"/>
    <n v="29"/>
    <n v="5"/>
    <s v="FT"/>
  </r>
  <r>
    <s v="TRX0003"/>
    <d v="2025-03-21T00:00:00"/>
    <s v="CUST002"/>
    <s v="Emma Wilson"/>
    <s v="P008"/>
    <x v="2"/>
    <x v="2"/>
    <n v="2"/>
    <n v="149.99"/>
    <x v="0"/>
    <x v="3"/>
    <x v="1"/>
    <d v="2023-11-03T00:00:00"/>
    <x v="22"/>
    <d v="2026-10-06T14:43:47"/>
    <d v="2026-10-06T00:00:00"/>
    <n v="504"/>
    <d v="2025-03-31T00:00:00"/>
    <s v="Mar-25"/>
    <n v="35"/>
    <n v="5"/>
    <s v="EW"/>
  </r>
  <r>
    <s v="TRX0124"/>
    <d v="2025-03-21T00:00:00"/>
    <s v="CUST040"/>
    <s v="Sharon Butler"/>
    <s v="P001"/>
    <x v="4"/>
    <x v="0"/>
    <n v="3"/>
    <n v="899.99"/>
    <x v="3"/>
    <x v="2"/>
    <x v="1"/>
    <d v="2022-11-11T00:00:00"/>
    <x v="4"/>
    <d v="2026-10-06T14:43:47"/>
    <d v="2026-10-06T00:00:00"/>
    <n v="861"/>
    <d v="2025-03-31T00:00:00"/>
    <s v="Mar-25"/>
    <n v="24"/>
    <n v="6"/>
    <s v="SB"/>
  </r>
  <r>
    <s v="TRX0013"/>
    <d v="2025-03-21T00:00:00"/>
    <s v="CUST024"/>
    <s v="Dorothy Nelson"/>
    <s v="P001"/>
    <x v="4"/>
    <x v="0"/>
    <n v="3"/>
    <n v="899.99"/>
    <x v="2"/>
    <x v="2"/>
    <x v="0"/>
    <d v="2023-02-18T00:00:00"/>
    <x v="4"/>
    <d v="2026-10-06T14:43:47"/>
    <d v="2026-10-06T00:00:00"/>
    <n v="762"/>
    <d v="2025-03-31T00:00:00"/>
    <s v="Mar-25"/>
    <n v="24"/>
    <n v="6"/>
    <s v="DN"/>
  </r>
  <r>
    <s v="TRX0019"/>
    <d v="2025-03-23T00:00:00"/>
    <s v="CUST023"/>
    <s v="Paul Baker"/>
    <s v="P007"/>
    <x v="6"/>
    <x v="2"/>
    <n v="3"/>
    <n v="299.99"/>
    <x v="1"/>
    <x v="3"/>
    <x v="1"/>
    <d v="2023-11-04T00:00:00"/>
    <x v="23"/>
    <d v="2026-10-06T14:43:47"/>
    <d v="2026-10-06T00:00:00"/>
    <n v="505"/>
    <d v="2025-03-31T00:00:00"/>
    <s v="Mar-25"/>
    <n v="26"/>
    <n v="8"/>
    <s v="PB"/>
  </r>
  <r>
    <s v="TRX0050"/>
    <d v="2025-03-24T00:00:00"/>
    <s v="CUST001"/>
    <s v="John Smith"/>
    <s v="P008"/>
    <x v="2"/>
    <x v="2"/>
    <n v="4"/>
    <n v="149.99"/>
    <x v="2"/>
    <x v="3"/>
    <x v="2"/>
    <d v="2021-12-30T00:00:00"/>
    <x v="9"/>
    <d v="2026-10-06T14:43:47"/>
    <d v="2026-10-06T00:00:00"/>
    <n v="1180"/>
    <d v="2025-03-31T00:00:00"/>
    <s v="Mar-25"/>
    <n v="35"/>
    <n v="1"/>
    <s v="JS"/>
  </r>
  <r>
    <s v="TRX0152"/>
    <d v="2025-03-27T00:00:00"/>
    <s v="CUST044"/>
    <s v="Cynthia Price"/>
    <s v="P004"/>
    <x v="7"/>
    <x v="1"/>
    <n v="4"/>
    <n v="79.989999999999995"/>
    <x v="1"/>
    <x v="0"/>
    <x v="0"/>
    <d v="2023-12-28T00:00:00"/>
    <x v="40"/>
    <d v="2026-10-06T14:43:47"/>
    <d v="2026-10-06T00:00:00"/>
    <n v="455"/>
    <d v="2025-03-31T00:00:00"/>
    <s v="Mar-25"/>
    <n v="14"/>
    <n v="5"/>
    <s v="CP"/>
  </r>
  <r>
    <s v="TRX0213"/>
    <d v="2025-03-29T00:00:00"/>
    <s v="CUST020"/>
    <s v="Margaret Wright"/>
    <s v="P010"/>
    <x v="8"/>
    <x v="0"/>
    <n v="5"/>
    <n v="89.99"/>
    <x v="2"/>
    <x v="1"/>
    <x v="0"/>
    <d v="2022-05-23T00:00:00"/>
    <x v="19"/>
    <d v="2026-10-06T14:43:47"/>
    <d v="2026-10-06T00:00:00"/>
    <n v="1041"/>
    <d v="2025-03-31T00:00:00"/>
    <s v="Mar-25"/>
    <n v="34"/>
    <n v="4"/>
    <s v="MW"/>
  </r>
  <r>
    <s v="TRX0197"/>
    <d v="2025-03-30T00:00:00"/>
    <s v="CUST048"/>
    <s v="Virginia Sanders"/>
    <s v="P008"/>
    <x v="2"/>
    <x v="2"/>
    <n v="3"/>
    <n v="149.99"/>
    <x v="2"/>
    <x v="0"/>
    <x v="2"/>
    <d v="2023-09-02T00:00:00"/>
    <x v="6"/>
    <d v="2026-10-06T14:43:47"/>
    <d v="2026-10-06T00:00:00"/>
    <n v="575"/>
    <d v="2025-03-31T00:00:00"/>
    <s v="Mar-25"/>
    <n v="35"/>
    <n v="6"/>
    <s v="VS"/>
  </r>
  <r>
    <s v="TRX0250"/>
    <d v="2025-03-30T00:00:00"/>
    <s v="CUST026"/>
    <s v="Karen Hill"/>
    <s v="P010"/>
    <x v="8"/>
    <x v="0"/>
    <n v="2"/>
    <n v="89.99"/>
    <x v="3"/>
    <x v="3"/>
    <x v="1"/>
    <d v="2021-11-22T00:00:00"/>
    <x v="28"/>
    <d v="2026-10-06T14:43:47"/>
    <d v="2026-10-06T00:00:00"/>
    <n v="1224"/>
    <d v="2025-03-31T00:00:00"/>
    <s v="Mar-25"/>
    <n v="34"/>
    <n v="8"/>
    <s v="KH"/>
  </r>
  <r>
    <s v="TRX0068"/>
    <d v="2025-04-01T00:00:00"/>
    <s v="CUST044"/>
    <s v="Cynthia Price"/>
    <s v="P002"/>
    <x v="5"/>
    <x v="0"/>
    <n v="2"/>
    <n v="699.99"/>
    <x v="2"/>
    <x v="2"/>
    <x v="2"/>
    <d v="2022-02-26T00:00:00"/>
    <x v="10"/>
    <d v="2026-10-06T14:43:47"/>
    <d v="2026-10-06T00:00:00"/>
    <n v="1130"/>
    <d v="2025-04-30T00:00:00"/>
    <s v="Apr-25"/>
    <n v="31"/>
    <n v="5"/>
    <s v="CP"/>
  </r>
  <r>
    <s v="TRX0144"/>
    <d v="2025-04-02T00:00:00"/>
    <s v="CUST029"/>
    <s v="Edward Mitchell"/>
    <s v="P001"/>
    <x v="4"/>
    <x v="0"/>
    <n v="3"/>
    <n v="899.99"/>
    <x v="0"/>
    <x v="0"/>
    <x v="2"/>
    <d v="2023-01-27T00:00:00"/>
    <x v="4"/>
    <d v="2026-10-06T14:43:47"/>
    <d v="2026-10-06T00:00:00"/>
    <n v="796"/>
    <d v="2025-04-30T00:00:00"/>
    <s v="Apr-25"/>
    <n v="24"/>
    <n v="6"/>
    <s v="EM"/>
  </r>
  <r>
    <s v="TRX0039"/>
    <d v="2025-04-08T00:00:00"/>
    <s v="CUST048"/>
    <s v="Virginia Sanders"/>
    <s v="P004"/>
    <x v="7"/>
    <x v="1"/>
    <n v="3"/>
    <n v="79.989999999999995"/>
    <x v="1"/>
    <x v="2"/>
    <x v="0"/>
    <d v="2021-11-11T00:00:00"/>
    <x v="18"/>
    <d v="2026-10-06T14:43:47"/>
    <d v="2026-10-06T00:00:00"/>
    <n v="1244"/>
    <d v="2025-04-30T00:00:00"/>
    <s v="Apr-25"/>
    <n v="14"/>
    <n v="6"/>
    <s v="VS"/>
  </r>
  <r>
    <s v="TRX0116"/>
    <d v="2025-04-09T00:00:00"/>
    <s v="CUST009"/>
    <s v="Robert Thomas"/>
    <s v="P010"/>
    <x v="8"/>
    <x v="0"/>
    <n v="1"/>
    <n v="89.99"/>
    <x v="3"/>
    <x v="4"/>
    <x v="0"/>
    <d v="2024-02-24T00:00:00"/>
    <x v="27"/>
    <d v="2026-10-06T14:43:47"/>
    <d v="2026-10-06T00:00:00"/>
    <n v="410"/>
    <d v="2025-04-30T00:00:00"/>
    <s v="Apr-25"/>
    <n v="34"/>
    <n v="5"/>
    <s v="RT"/>
  </r>
  <r>
    <s v="TRX0120"/>
    <d v="2025-04-11T00:00:00"/>
    <s v="CUST045"/>
    <s v="Douglas Watson"/>
    <s v="P002"/>
    <x v="5"/>
    <x v="0"/>
    <n v="3"/>
    <n v="699.99"/>
    <x v="2"/>
    <x v="2"/>
    <x v="0"/>
    <d v="2022-12-14T00:00:00"/>
    <x v="7"/>
    <d v="2026-10-06T14:43:47"/>
    <d v="2026-10-06T00:00:00"/>
    <n v="849"/>
    <d v="2025-04-30T00:00:00"/>
    <s v="Apr-25"/>
    <n v="31"/>
    <n v="4"/>
    <s v="DW"/>
  </r>
  <r>
    <s v="TRX0103"/>
    <d v="2025-04-11T00:00:00"/>
    <s v="CUST039"/>
    <s v="Lawrence Reed"/>
    <s v="P010"/>
    <x v="8"/>
    <x v="0"/>
    <n v="2"/>
    <n v="89.99"/>
    <x v="3"/>
    <x v="4"/>
    <x v="0"/>
    <d v="2023-06-11T00:00:00"/>
    <x v="28"/>
    <d v="2026-10-06T14:43:47"/>
    <d v="2026-10-06T00:00:00"/>
    <n v="670"/>
    <d v="2025-04-30T00:00:00"/>
    <s v="Apr-25"/>
    <n v="34"/>
    <n v="8"/>
    <s v="LR"/>
  </r>
  <r>
    <s v="TRX0064"/>
    <d v="2025-04-11T00:00:00"/>
    <s v="CUST031"/>
    <s v="Steven Turner"/>
    <s v="P010"/>
    <x v="8"/>
    <x v="0"/>
    <n v="3"/>
    <n v="89.99"/>
    <x v="3"/>
    <x v="2"/>
    <x v="1"/>
    <d v="2022-11-13T00:00:00"/>
    <x v="25"/>
    <d v="2026-10-06T14:43:47"/>
    <d v="2026-10-06T00:00:00"/>
    <n v="880"/>
    <d v="2025-04-30T00:00:00"/>
    <s v="Apr-25"/>
    <n v="34"/>
    <n v="6"/>
    <s v="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86096B-6A3D-4A3A-A201-F240A2AAF90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ethod">
  <location ref="D12:F17" firstHeaderRow="0" firstDataRow="1" firstDataCol="1"/>
  <pivotFields count="22">
    <pivotField dataField="1" showAll="0"/>
    <pivotField numFmtId="14" showAll="0"/>
    <pivotField showAll="0"/>
    <pivotField showAll="0"/>
    <pivotField showAll="0"/>
    <pivotField showAll="0"/>
    <pivotField showAll="0">
      <items count="4">
        <item x="1"/>
        <item x="0"/>
        <item x="2"/>
        <item t="default"/>
      </items>
    </pivotField>
    <pivotField showAll="0"/>
    <pivotField numFmtId="166"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6" showAll="0"/>
    <pivotField numFmtId="164" showAll="0"/>
    <pivotField numFmtId="14" showAll="0"/>
    <pivotField numFmtId="1" showAll="0"/>
    <pivotField numFmtId="165" showAll="0"/>
    <pivotField showAll="0"/>
    <pivotField showAll="0"/>
    <pivotField showAll="0"/>
    <pivotField showAll="0"/>
  </pivotFields>
  <rowFields count="1">
    <field x="9"/>
  </rowFields>
  <rowItems count="5">
    <i>
      <x/>
    </i>
    <i>
      <x v="1"/>
    </i>
    <i>
      <x v="2"/>
    </i>
    <i>
      <x v="3"/>
    </i>
    <i t="grand">
      <x/>
    </i>
  </rowItems>
  <colFields count="1">
    <field x="-2"/>
  </colFields>
  <colItems count="2">
    <i>
      <x/>
    </i>
    <i i="1">
      <x v="1"/>
    </i>
  </colItems>
  <dataFields count="2">
    <dataField name="Count of Transaction_ID" fld="0" subtotal="count" baseField="0" baseItem="0"/>
    <dataField name="Sum of Total_Amount" fld="13" baseField="0" baseItem="0" numFmtId="166"/>
  </dataFields>
  <formats count="19">
    <format dxfId="225">
      <pivotArea type="all" dataOnly="0" outline="0" fieldPosition="0"/>
    </format>
    <format dxfId="226">
      <pivotArea outline="0" collapsedLevelsAreSubtotals="1" fieldPosition="0"/>
    </format>
    <format dxfId="227">
      <pivotArea field="9" type="button" dataOnly="0" labelOnly="1" outline="0" axis="axisRow" fieldPosition="0"/>
    </format>
    <format dxfId="228">
      <pivotArea dataOnly="0" labelOnly="1" fieldPosition="0">
        <references count="1">
          <reference field="9" count="0"/>
        </references>
      </pivotArea>
    </format>
    <format dxfId="229">
      <pivotArea dataOnly="0" labelOnly="1" grandRow="1" outline="0" fieldPosition="0"/>
    </format>
    <format dxfId="230">
      <pivotArea dataOnly="0" labelOnly="1" outline="0" fieldPosition="0">
        <references count="1">
          <reference field="4294967294" count="2">
            <x v="0"/>
            <x v="1"/>
          </reference>
        </references>
      </pivotArea>
    </format>
    <format dxfId="231">
      <pivotArea field="9" type="button" dataOnly="0" labelOnly="1" outline="0" axis="axisRow" fieldPosition="0"/>
    </format>
    <format dxfId="232">
      <pivotArea dataOnly="0" labelOnly="1" outline="0" fieldPosition="0">
        <references count="1">
          <reference field="4294967294" count="2">
            <x v="0"/>
            <x v="1"/>
          </reference>
        </references>
      </pivotArea>
    </format>
    <format dxfId="233">
      <pivotArea grandRow="1" outline="0" collapsedLevelsAreSubtotals="1" fieldPosition="0"/>
    </format>
    <format dxfId="234">
      <pivotArea dataOnly="0" labelOnly="1" grandRow="1" outline="0" fieldPosition="0"/>
    </format>
    <format dxfId="235">
      <pivotArea collapsedLevelsAreSubtotals="1" fieldPosition="0">
        <references count="1">
          <reference field="9" count="0"/>
        </references>
      </pivotArea>
    </format>
    <format dxfId="236">
      <pivotArea collapsedLevelsAreSubtotals="1" fieldPosition="0">
        <references count="1">
          <reference field="9" count="0"/>
        </references>
      </pivotArea>
    </format>
    <format dxfId="237">
      <pivotArea type="all" dataOnly="0" outline="0" fieldPosition="0"/>
    </format>
    <format dxfId="238">
      <pivotArea outline="0" collapsedLevelsAreSubtotals="1" fieldPosition="0"/>
    </format>
    <format dxfId="239">
      <pivotArea field="9" type="button" dataOnly="0" labelOnly="1" outline="0" axis="axisRow" fieldPosition="0"/>
    </format>
    <format dxfId="240">
      <pivotArea dataOnly="0" labelOnly="1" fieldPosition="0">
        <references count="1">
          <reference field="9" count="0"/>
        </references>
      </pivotArea>
    </format>
    <format dxfId="241">
      <pivotArea dataOnly="0" labelOnly="1" grandRow="1" outline="0" fieldPosition="0"/>
    </format>
    <format dxfId="242">
      <pivotArea dataOnly="0" labelOnly="1" outline="0" fieldPosition="0">
        <references count="1">
          <reference field="4294967294" count="2">
            <x v="0"/>
            <x v="1"/>
          </reference>
        </references>
      </pivotArea>
    </format>
    <format dxfId="243">
      <pivotArea collapsedLevelsAreSubtotals="1" fieldPosition="0">
        <references count="2">
          <reference field="4294967294" count="1" selected="0">
            <x v="0"/>
          </reference>
          <reference field="9"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A2A88-B7AC-4A7C-8C6E-F93A120DC6D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Segment">
  <location ref="D4:F8" firstHeaderRow="0" firstDataRow="1" firstDataCol="1"/>
  <pivotFields count="22">
    <pivotField dataField="1" showAll="0"/>
    <pivotField numFmtId="14" showAll="0"/>
    <pivotField showAll="0"/>
    <pivotField showAll="0"/>
    <pivotField showAll="0"/>
    <pivotField showAll="0"/>
    <pivotField showAll="0">
      <items count="4">
        <item x="1"/>
        <item x="0"/>
        <item x="2"/>
        <item t="default"/>
      </items>
    </pivotField>
    <pivotField showAll="0"/>
    <pivotField numFmtId="166" showAll="0"/>
    <pivotField showAll="0">
      <items count="5">
        <item x="0"/>
        <item x="1"/>
        <item x="3"/>
        <item x="2"/>
        <item t="default"/>
      </items>
    </pivotField>
    <pivotField showAll="0">
      <items count="6">
        <item x="0"/>
        <item x="4"/>
        <item x="2"/>
        <item x="1"/>
        <item x="3"/>
        <item t="default"/>
      </items>
    </pivotField>
    <pivotField axis="axisRow" showAll="0">
      <items count="4">
        <item x="0"/>
        <item x="1"/>
        <item x="2"/>
        <item t="default"/>
      </items>
    </pivotField>
    <pivotField numFmtId="14" showAll="0"/>
    <pivotField dataField="1" numFmtId="166"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numFmtId="164" showAll="0"/>
    <pivotField numFmtId="14" showAll="0"/>
    <pivotField numFmtId="1" showAll="0"/>
    <pivotField numFmtId="165" showAll="0"/>
    <pivotField showAll="0"/>
    <pivotField showAll="0"/>
    <pivotField showAll="0"/>
    <pivotField showAll="0"/>
  </pivotFields>
  <rowFields count="1">
    <field x="11"/>
  </rowFields>
  <rowItems count="4">
    <i>
      <x/>
    </i>
    <i>
      <x v="1"/>
    </i>
    <i>
      <x v="2"/>
    </i>
    <i t="grand">
      <x/>
    </i>
  </rowItems>
  <colFields count="1">
    <field x="-2"/>
  </colFields>
  <colItems count="2">
    <i>
      <x/>
    </i>
    <i i="1">
      <x v="1"/>
    </i>
  </colItems>
  <dataFields count="2">
    <dataField name="Sum of Total_Amount" fld="13" baseField="0" baseItem="0" numFmtId="166"/>
    <dataField name="Count of Transaction_ID" fld="0" subtotal="count" baseField="0" baseItem="0"/>
  </dataFields>
  <formats count="21">
    <format dxfId="244">
      <pivotArea type="all" dataOnly="0" outline="0" fieldPosition="0"/>
    </format>
    <format dxfId="245">
      <pivotArea outline="0" collapsedLevelsAreSubtotals="1" fieldPosition="0"/>
    </format>
    <format dxfId="246">
      <pivotArea field="11" type="button" dataOnly="0" labelOnly="1" outline="0" axis="axisRow" fieldPosition="0"/>
    </format>
    <format dxfId="247">
      <pivotArea dataOnly="0" labelOnly="1" fieldPosition="0">
        <references count="1">
          <reference field="11" count="0"/>
        </references>
      </pivotArea>
    </format>
    <format dxfId="248">
      <pivotArea dataOnly="0" labelOnly="1" grandRow="1" outline="0" fieldPosition="0"/>
    </format>
    <format dxfId="249">
      <pivotArea dataOnly="0" labelOnly="1" outline="0" fieldPosition="0">
        <references count="1">
          <reference field="4294967294" count="2">
            <x v="0"/>
            <x v="1"/>
          </reference>
        </references>
      </pivotArea>
    </format>
    <format dxfId="250">
      <pivotArea field="11" type="button" dataOnly="0" labelOnly="1" outline="0" axis="axisRow" fieldPosition="0"/>
    </format>
    <format dxfId="251">
      <pivotArea dataOnly="0" labelOnly="1" outline="0" fieldPosition="0">
        <references count="1">
          <reference field="4294967294" count="2">
            <x v="0"/>
            <x v="1"/>
          </reference>
        </references>
      </pivotArea>
    </format>
    <format dxfId="252">
      <pivotArea dataOnly="0" labelOnly="1" grandRow="1" outline="0" fieldPosition="0"/>
    </format>
    <format dxfId="253">
      <pivotArea collapsedLevelsAreSubtotals="1" fieldPosition="0">
        <references count="1">
          <reference field="11" count="0"/>
        </references>
      </pivotArea>
    </format>
    <format dxfId="254">
      <pivotArea collapsedLevelsAreSubtotals="1" fieldPosition="0">
        <references count="1">
          <reference field="11" count="0"/>
        </references>
      </pivotArea>
    </format>
    <format dxfId="255">
      <pivotArea field="11" grandRow="1" outline="0" collapsedLevelsAreSubtotals="1" axis="axisRow" fieldPosition="0">
        <references count="1">
          <reference field="4294967294" count="1" selected="0">
            <x v="0"/>
          </reference>
        </references>
      </pivotArea>
    </format>
    <format dxfId="256">
      <pivotArea collapsedLevelsAreSubtotals="1" fieldPosition="0">
        <references count="2">
          <reference field="4294967294" count="1" selected="0">
            <x v="0"/>
          </reference>
          <reference field="11" count="1">
            <x v="1"/>
          </reference>
        </references>
      </pivotArea>
    </format>
    <format dxfId="257">
      <pivotArea type="all" dataOnly="0" outline="0" fieldPosition="0"/>
    </format>
    <format dxfId="258">
      <pivotArea outline="0" collapsedLevelsAreSubtotals="1" fieldPosition="0"/>
    </format>
    <format dxfId="259">
      <pivotArea field="11" type="button" dataOnly="0" labelOnly="1" outline="0" axis="axisRow" fieldPosition="0"/>
    </format>
    <format dxfId="260">
      <pivotArea dataOnly="0" labelOnly="1" fieldPosition="0">
        <references count="1">
          <reference field="11" count="0"/>
        </references>
      </pivotArea>
    </format>
    <format dxfId="261">
      <pivotArea dataOnly="0" labelOnly="1" grandRow="1" outline="0" fieldPosition="0"/>
    </format>
    <format dxfId="262">
      <pivotArea dataOnly="0" labelOnly="1" outline="0" fieldPosition="0">
        <references count="1">
          <reference field="4294967294" count="2">
            <x v="0"/>
            <x v="1"/>
          </reference>
        </references>
      </pivotArea>
    </format>
    <format dxfId="263">
      <pivotArea field="11" grandRow="1" outline="0" collapsedLevelsAreSubtotals="1" axis="axisRow" fieldPosition="0">
        <references count="1">
          <reference field="4294967294" count="1" selected="0">
            <x v="0"/>
          </reference>
        </references>
      </pivotArea>
    </format>
    <format dxfId="264">
      <pivotArea field="11" grandRow="1" outline="0" collapsedLevelsAreSubtotals="1" axis="axisRow" fieldPosition="0">
        <references count="1">
          <reference field="4294967294" count="1" selected="0">
            <x v="1"/>
          </reference>
        </references>
      </pivotArea>
    </format>
  </formats>
  <chartFormats count="32">
    <chartFormat chart="0" format="44" series="1">
      <pivotArea type="data" outline="0" fieldPosition="0">
        <references count="1">
          <reference field="4294967294" count="1" selected="0">
            <x v="0"/>
          </reference>
        </references>
      </pivotArea>
    </chartFormat>
    <chartFormat chart="0" format="45" series="1">
      <pivotArea type="data" outline="0" fieldPosition="0">
        <references count="1">
          <reference field="4294967294" count="1" selected="0">
            <x v="1"/>
          </reference>
        </references>
      </pivotArea>
    </chartFormat>
    <chartFormat chart="0" format="46">
      <pivotArea type="data" outline="0" fieldPosition="0">
        <references count="2">
          <reference field="4294967294" count="1" selected="0">
            <x v="0"/>
          </reference>
          <reference field="11" count="1" selected="0">
            <x v="0"/>
          </reference>
        </references>
      </pivotArea>
    </chartFormat>
    <chartFormat chart="0" format="47">
      <pivotArea type="data" outline="0" fieldPosition="0">
        <references count="2">
          <reference field="4294967294" count="1" selected="0">
            <x v="0"/>
          </reference>
          <reference field="11" count="1" selected="0">
            <x v="1"/>
          </reference>
        </references>
      </pivotArea>
    </chartFormat>
    <chartFormat chart="0" format="48">
      <pivotArea type="data" outline="0" fieldPosition="0">
        <references count="2">
          <reference field="4294967294" count="1" selected="0">
            <x v="0"/>
          </reference>
          <reference field="11" count="1" selected="0">
            <x v="2"/>
          </reference>
        </references>
      </pivotArea>
    </chartFormat>
    <chartFormat chart="0" format="49">
      <pivotArea type="data" outline="0" fieldPosition="0">
        <references count="2">
          <reference field="4294967294" count="1" selected="0">
            <x v="1"/>
          </reference>
          <reference field="11" count="1" selected="0">
            <x v="1"/>
          </reference>
        </references>
      </pivotArea>
    </chartFormat>
    <chartFormat chart="0" format="50">
      <pivotArea type="data" outline="0" fieldPosition="0">
        <references count="2">
          <reference field="4294967294" count="1" selected="0">
            <x v="1"/>
          </reference>
          <reference field="11" count="1" selected="0">
            <x v="0"/>
          </reference>
        </references>
      </pivotArea>
    </chartFormat>
    <chartFormat chart="0" format="51">
      <pivotArea type="data" outline="0" fieldPosition="0">
        <references count="2">
          <reference field="4294967294" count="1" selected="0">
            <x v="1"/>
          </reference>
          <reference field="11" count="1" selected="0">
            <x v="2"/>
          </reference>
        </references>
      </pivotArea>
    </chartFormat>
    <chartFormat chart="7" format="60" series="1">
      <pivotArea type="data" outline="0" fieldPosition="0">
        <references count="1">
          <reference field="4294967294" count="1" selected="0">
            <x v="0"/>
          </reference>
        </references>
      </pivotArea>
    </chartFormat>
    <chartFormat chart="7" format="61">
      <pivotArea type="data" outline="0" fieldPosition="0">
        <references count="2">
          <reference field="4294967294" count="1" selected="0">
            <x v="0"/>
          </reference>
          <reference field="11" count="1" selected="0">
            <x v="0"/>
          </reference>
        </references>
      </pivotArea>
    </chartFormat>
    <chartFormat chart="7" format="62">
      <pivotArea type="data" outline="0" fieldPosition="0">
        <references count="2">
          <reference field="4294967294" count="1" selected="0">
            <x v="0"/>
          </reference>
          <reference field="11" count="1" selected="0">
            <x v="1"/>
          </reference>
        </references>
      </pivotArea>
    </chartFormat>
    <chartFormat chart="7" format="63">
      <pivotArea type="data" outline="0" fieldPosition="0">
        <references count="2">
          <reference field="4294967294" count="1" selected="0">
            <x v="0"/>
          </reference>
          <reference field="11" count="1" selected="0">
            <x v="2"/>
          </reference>
        </references>
      </pivotArea>
    </chartFormat>
    <chartFormat chart="7" format="64" series="1">
      <pivotArea type="data" outline="0" fieldPosition="0">
        <references count="1">
          <reference field="4294967294" count="1" selected="0">
            <x v="1"/>
          </reference>
        </references>
      </pivotArea>
    </chartFormat>
    <chartFormat chart="7" format="65">
      <pivotArea type="data" outline="0" fieldPosition="0">
        <references count="2">
          <reference field="4294967294" count="1" selected="0">
            <x v="1"/>
          </reference>
          <reference field="11" count="1" selected="0">
            <x v="0"/>
          </reference>
        </references>
      </pivotArea>
    </chartFormat>
    <chartFormat chart="7" format="66">
      <pivotArea type="data" outline="0" fieldPosition="0">
        <references count="2">
          <reference field="4294967294" count="1" selected="0">
            <x v="1"/>
          </reference>
          <reference field="11" count="1" selected="0">
            <x v="1"/>
          </reference>
        </references>
      </pivotArea>
    </chartFormat>
    <chartFormat chart="7" format="67">
      <pivotArea type="data" outline="0" fieldPosition="0">
        <references count="2">
          <reference field="4294967294" count="1" selected="0">
            <x v="1"/>
          </reference>
          <reference field="11" count="1" selected="0">
            <x v="2"/>
          </reference>
        </references>
      </pivotArea>
    </chartFormat>
    <chartFormat chart="8" format="60" series="1">
      <pivotArea type="data" outline="0" fieldPosition="0">
        <references count="1">
          <reference field="4294967294" count="1" selected="0">
            <x v="0"/>
          </reference>
        </references>
      </pivotArea>
    </chartFormat>
    <chartFormat chart="8" format="61">
      <pivotArea type="data" outline="0" fieldPosition="0">
        <references count="2">
          <reference field="4294967294" count="1" selected="0">
            <x v="0"/>
          </reference>
          <reference field="11" count="1" selected="0">
            <x v="0"/>
          </reference>
        </references>
      </pivotArea>
    </chartFormat>
    <chartFormat chart="8" format="62">
      <pivotArea type="data" outline="0" fieldPosition="0">
        <references count="2">
          <reference field="4294967294" count="1" selected="0">
            <x v="0"/>
          </reference>
          <reference field="11" count="1" selected="0">
            <x v="1"/>
          </reference>
        </references>
      </pivotArea>
    </chartFormat>
    <chartFormat chart="8" format="63">
      <pivotArea type="data" outline="0" fieldPosition="0">
        <references count="2">
          <reference field="4294967294" count="1" selected="0">
            <x v="0"/>
          </reference>
          <reference field="11" count="1" selected="0">
            <x v="2"/>
          </reference>
        </references>
      </pivotArea>
    </chartFormat>
    <chartFormat chart="8" format="64" series="1">
      <pivotArea type="data" outline="0" fieldPosition="0">
        <references count="1">
          <reference field="4294967294" count="1" selected="0">
            <x v="1"/>
          </reference>
        </references>
      </pivotArea>
    </chartFormat>
    <chartFormat chart="8" format="65">
      <pivotArea type="data" outline="0" fieldPosition="0">
        <references count="2">
          <reference field="4294967294" count="1" selected="0">
            <x v="1"/>
          </reference>
          <reference field="11" count="1" selected="0">
            <x v="0"/>
          </reference>
        </references>
      </pivotArea>
    </chartFormat>
    <chartFormat chart="8" format="66">
      <pivotArea type="data" outline="0" fieldPosition="0">
        <references count="2">
          <reference field="4294967294" count="1" selected="0">
            <x v="1"/>
          </reference>
          <reference field="11" count="1" selected="0">
            <x v="1"/>
          </reference>
        </references>
      </pivotArea>
    </chartFormat>
    <chartFormat chart="8" format="67">
      <pivotArea type="data" outline="0" fieldPosition="0">
        <references count="2">
          <reference field="4294967294" count="1" selected="0">
            <x v="1"/>
          </reference>
          <reference field="11" count="1" selected="0">
            <x v="2"/>
          </reference>
        </references>
      </pivotArea>
    </chartFormat>
    <chartFormat chart="10" format="60" series="1">
      <pivotArea type="data" outline="0" fieldPosition="0">
        <references count="1">
          <reference field="4294967294" count="1" selected="0">
            <x v="0"/>
          </reference>
        </references>
      </pivotArea>
    </chartFormat>
    <chartFormat chart="10" format="61">
      <pivotArea type="data" outline="0" fieldPosition="0">
        <references count="2">
          <reference field="4294967294" count="1" selected="0">
            <x v="0"/>
          </reference>
          <reference field="11" count="1" selected="0">
            <x v="0"/>
          </reference>
        </references>
      </pivotArea>
    </chartFormat>
    <chartFormat chart="10" format="62">
      <pivotArea type="data" outline="0" fieldPosition="0">
        <references count="2">
          <reference field="4294967294" count="1" selected="0">
            <x v="0"/>
          </reference>
          <reference field="11" count="1" selected="0">
            <x v="1"/>
          </reference>
        </references>
      </pivotArea>
    </chartFormat>
    <chartFormat chart="10" format="63">
      <pivotArea type="data" outline="0" fieldPosition="0">
        <references count="2">
          <reference field="4294967294" count="1" selected="0">
            <x v="0"/>
          </reference>
          <reference field="11" count="1" selected="0">
            <x v="2"/>
          </reference>
        </references>
      </pivotArea>
    </chartFormat>
    <chartFormat chart="10" format="64" series="1">
      <pivotArea type="data" outline="0" fieldPosition="0">
        <references count="1">
          <reference field="4294967294" count="1" selected="0">
            <x v="1"/>
          </reference>
        </references>
      </pivotArea>
    </chartFormat>
    <chartFormat chart="10" format="65">
      <pivotArea type="data" outline="0" fieldPosition="0">
        <references count="2">
          <reference field="4294967294" count="1" selected="0">
            <x v="1"/>
          </reference>
          <reference field="11" count="1" selected="0">
            <x v="0"/>
          </reference>
        </references>
      </pivotArea>
    </chartFormat>
    <chartFormat chart="10" format="66">
      <pivotArea type="data" outline="0" fieldPosition="0">
        <references count="2">
          <reference field="4294967294" count="1" selected="0">
            <x v="1"/>
          </reference>
          <reference field="11" count="1" selected="0">
            <x v="1"/>
          </reference>
        </references>
      </pivotArea>
    </chartFormat>
    <chartFormat chart="10" format="67">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0D3924-74BB-41F4-812B-19A143809E5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Name">
  <location ref="H4:J15" firstHeaderRow="0" firstDataRow="1" firstDataCol="1"/>
  <pivotFields count="22">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showAll="0"/>
    <pivotField numFmtId="166"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6" showAll="0"/>
    <pivotField numFmtId="164" showAll="0"/>
    <pivotField numFmtId="14" showAll="0"/>
    <pivotField numFmtId="1" showAll="0"/>
    <pivotField numFmtId="165" showAll="0"/>
    <pivotField showAll="0"/>
    <pivotField showAll="0"/>
    <pivotField showAll="0"/>
    <pivotField showAl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Sum of Quantity" fld="7" baseField="0" baseItem="0"/>
    <dataField name="Sum of Total_Amount" fld="13" baseField="0" baseItem="0" numFmtId="166"/>
  </dataFields>
  <formats count="13">
    <format dxfId="265">
      <pivotArea type="all" dataOnly="0" outline="0" fieldPosition="0"/>
    </format>
    <format dxfId="266">
      <pivotArea outline="0" collapsedLevelsAreSubtotals="1" fieldPosition="0"/>
    </format>
    <format dxfId="267">
      <pivotArea field="5" type="button" dataOnly="0" labelOnly="1" outline="0" axis="axisRow" fieldPosition="0"/>
    </format>
    <format dxfId="268">
      <pivotArea dataOnly="0" labelOnly="1" fieldPosition="0">
        <references count="1">
          <reference field="5" count="0"/>
        </references>
      </pivotArea>
    </format>
    <format dxfId="269">
      <pivotArea dataOnly="0" labelOnly="1" grandRow="1" outline="0" fieldPosition="0"/>
    </format>
    <format dxfId="270">
      <pivotArea dataOnly="0" labelOnly="1" outline="0" fieldPosition="0">
        <references count="1">
          <reference field="4294967294" count="2">
            <x v="0"/>
            <x v="1"/>
          </reference>
        </references>
      </pivotArea>
    </format>
    <format dxfId="271">
      <pivotArea field="5" type="button" dataOnly="0" labelOnly="1" outline="0" axis="axisRow" fieldPosition="0"/>
    </format>
    <format dxfId="272">
      <pivotArea dataOnly="0" labelOnly="1" outline="0" fieldPosition="0">
        <references count="1">
          <reference field="4294967294" count="2">
            <x v="0"/>
            <x v="1"/>
          </reference>
        </references>
      </pivotArea>
    </format>
    <format dxfId="273">
      <pivotArea dataOnly="0" labelOnly="1" grandRow="1" outline="0" fieldPosition="0"/>
    </format>
    <format dxfId="274">
      <pivotArea outline="0" collapsedLevelsAreSubtotals="1" fieldPosition="0"/>
    </format>
    <format dxfId="275">
      <pivotArea outline="0" collapsedLevelsAreSubtotals="1" fieldPosition="0"/>
    </format>
    <format dxfId="276">
      <pivotArea grandRow="1" outline="0" collapsedLevelsAreSubtotals="1" fieldPosition="0"/>
    </format>
    <format dxfId="277">
      <pivotArea dataOnly="0" labelOnly="1" fieldPosition="0">
        <references count="1">
          <reference field="5" count="1">
            <x v="7"/>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18F2C-7199-40BE-B64D-930459C45A41}"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Region">
  <location ref="A4:B10" firstHeaderRow="1" firstDataRow="1" firstDataCol="1"/>
  <pivotFields count="22">
    <pivotField showAll="0"/>
    <pivotField numFmtId="14" showAll="0"/>
    <pivotField showAll="0"/>
    <pivotField showAll="0"/>
    <pivotField showAll="0"/>
    <pivotField showAll="0"/>
    <pivotField showAll="0">
      <items count="4">
        <item x="1"/>
        <item x="0"/>
        <item x="2"/>
        <item t="default"/>
      </items>
    </pivotField>
    <pivotField showAll="0"/>
    <pivotField numFmtId="166"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4" showAll="0"/>
    <pivotField dataField="1" numFmtId="166" showAll="0"/>
    <pivotField numFmtId="164" showAll="0"/>
    <pivotField numFmtId="14" showAll="0"/>
    <pivotField numFmtId="1" showAll="0"/>
    <pivotField numFmtId="165"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numFmtId="166"/>
  </dataFields>
  <formats count="22">
    <format dxfId="278">
      <pivotArea type="all" dataOnly="0" outline="0" fieldPosition="0"/>
    </format>
    <format dxfId="279">
      <pivotArea outline="0" collapsedLevelsAreSubtotals="1" fieldPosition="0"/>
    </format>
    <format dxfId="280">
      <pivotArea field="10" type="button" dataOnly="0" labelOnly="1" outline="0" axis="axisRow" fieldPosition="0"/>
    </format>
    <format dxfId="281">
      <pivotArea dataOnly="0" labelOnly="1" fieldPosition="0">
        <references count="1">
          <reference field="10" count="0"/>
        </references>
      </pivotArea>
    </format>
    <format dxfId="282">
      <pivotArea dataOnly="0" labelOnly="1" grandRow="1" outline="0" fieldPosition="0"/>
    </format>
    <format dxfId="283">
      <pivotArea dataOnly="0" labelOnly="1" outline="0" axis="axisValues" fieldPosition="0"/>
    </format>
    <format dxfId="284">
      <pivotArea field="10" type="button" dataOnly="0" labelOnly="1" outline="0" axis="axisRow" fieldPosition="0"/>
    </format>
    <format dxfId="285">
      <pivotArea dataOnly="0" labelOnly="1" outline="0" axis="axisValues" fieldPosition="0"/>
    </format>
    <format dxfId="286">
      <pivotArea field="10" type="button" dataOnly="0" labelOnly="1" outline="0" axis="axisRow" fieldPosition="0"/>
    </format>
    <format dxfId="287">
      <pivotArea dataOnly="0" labelOnly="1" outline="0" axis="axisValues" fieldPosition="0"/>
    </format>
    <format dxfId="288">
      <pivotArea field="10" type="button" dataOnly="0" labelOnly="1" outline="0" axis="axisRow" fieldPosition="0"/>
    </format>
    <format dxfId="289">
      <pivotArea dataOnly="0" labelOnly="1" outline="0" axis="axisValues" fieldPosition="0"/>
    </format>
    <format dxfId="290">
      <pivotArea field="10" type="button" dataOnly="0" labelOnly="1" outline="0" axis="axisRow" fieldPosition="0"/>
    </format>
    <format dxfId="291">
      <pivotArea dataOnly="0" labelOnly="1" outline="0" axis="axisValues" fieldPosition="0"/>
    </format>
    <format dxfId="292">
      <pivotArea outline="0" collapsedLevelsAreSubtotals="1" fieldPosition="0"/>
    </format>
    <format dxfId="293">
      <pivotArea outline="0" collapsedLevelsAreSubtotals="1" fieldPosition="0"/>
    </format>
    <format dxfId="294">
      <pivotArea grandRow="1" outline="0" collapsedLevelsAreSubtotals="1" fieldPosition="0"/>
    </format>
    <format dxfId="295">
      <pivotArea dataOnly="0" labelOnly="1" grandRow="1" outline="0" fieldPosition="0"/>
    </format>
    <format dxfId="296">
      <pivotArea dataOnly="0" labelOnly="1" fieldPosition="0">
        <references count="1">
          <reference field="10" count="0"/>
        </references>
      </pivotArea>
    </format>
    <format dxfId="297">
      <pivotArea dataOnly="0" labelOnly="1" grandRow="1" outline="0" fieldPosition="0"/>
    </format>
    <format dxfId="298">
      <pivotArea dataOnly="0" labelOnly="1" fieldPosition="0">
        <references count="1">
          <reference field="10" count="0"/>
        </references>
      </pivotArea>
    </format>
    <format dxfId="299">
      <pivotArea dataOnly="0" labelOnly="1" grandRow="1" outline="0" fieldPosition="0"/>
    </format>
  </formats>
  <chartFormats count="12">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0" count="1" selected="0">
            <x v="0"/>
          </reference>
        </references>
      </pivotArea>
    </chartFormat>
    <chartFormat chart="10" format="18">
      <pivotArea type="data" outline="0" fieldPosition="0">
        <references count="2">
          <reference field="4294967294" count="1" selected="0">
            <x v="0"/>
          </reference>
          <reference field="10" count="1" selected="0">
            <x v="1"/>
          </reference>
        </references>
      </pivotArea>
    </chartFormat>
    <chartFormat chart="10" format="19">
      <pivotArea type="data" outline="0" fieldPosition="0">
        <references count="2">
          <reference field="4294967294" count="1" selected="0">
            <x v="0"/>
          </reference>
          <reference field="10" count="1" selected="0">
            <x v="2"/>
          </reference>
        </references>
      </pivotArea>
    </chartFormat>
    <chartFormat chart="10" format="20">
      <pivotArea type="data" outline="0" fieldPosition="0">
        <references count="2">
          <reference field="4294967294" count="1" selected="0">
            <x v="0"/>
          </reference>
          <reference field="10" count="1" selected="0">
            <x v="3"/>
          </reference>
        </references>
      </pivotArea>
    </chartFormat>
    <chartFormat chart="10" format="21">
      <pivotArea type="data" outline="0" fieldPosition="0">
        <references count="2">
          <reference field="4294967294" count="1" selected="0">
            <x v="0"/>
          </reference>
          <reference field="10" count="1" selected="0">
            <x v="4"/>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0" count="1" selected="0">
            <x v="0"/>
          </reference>
        </references>
      </pivotArea>
    </chartFormat>
    <chartFormat chart="11" format="18">
      <pivotArea type="data" outline="0" fieldPosition="0">
        <references count="2">
          <reference field="4294967294" count="1" selected="0">
            <x v="0"/>
          </reference>
          <reference field="10" count="1" selected="0">
            <x v="1"/>
          </reference>
        </references>
      </pivotArea>
    </chartFormat>
    <chartFormat chart="11" format="19">
      <pivotArea type="data" outline="0" fieldPosition="0">
        <references count="2">
          <reference field="4294967294" count="1" selected="0">
            <x v="0"/>
          </reference>
          <reference field="10" count="1" selected="0">
            <x v="2"/>
          </reference>
        </references>
      </pivotArea>
    </chartFormat>
    <chartFormat chart="11" format="20">
      <pivotArea type="data" outline="0" fieldPosition="0">
        <references count="2">
          <reference field="4294967294" count="1" selected="0">
            <x v="0"/>
          </reference>
          <reference field="10" count="1" selected="0">
            <x v="3"/>
          </reference>
        </references>
      </pivotArea>
    </chartFormat>
    <chartFormat chart="11" format="2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E62356-CA70-4DF6-B856-968F439FCD43}" sourceName="Region">
  <pivotTables>
    <pivotTable tabId="6" name="PivotTable4"/>
    <pivotTable tabId="6" name="PivotTable1"/>
    <pivotTable tabId="6" name="PivotTable2"/>
    <pivotTable tabId="6" name="PivotTable3"/>
  </pivotTables>
  <data>
    <tabular pivotCacheId="135877469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ABD780E-C10D-4664-BDC6-C7CD2E9DD8BC}" sourceName="Payment_Method">
  <pivotTables>
    <pivotTable tabId="6" name="PivotTable4"/>
    <pivotTable tabId="6" name="PivotTable1"/>
    <pivotTable tabId="6" name="PivotTable2"/>
    <pivotTable tabId="6" name="PivotTable3"/>
  </pivotTables>
  <data>
    <tabular pivotCacheId="1358774691">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744A6A-734B-4E2C-80BA-4363343B6089}" sourceName="Category">
  <pivotTables>
    <pivotTable tabId="6" name="PivotTable1"/>
    <pivotTable tabId="6" name="PivotTable2"/>
    <pivotTable tabId="6" name="PivotTable3"/>
    <pivotTable tabId="6" name="PivotTable4"/>
  </pivotTables>
  <data>
    <tabular pivotCacheId="135877469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6E60AF8-B38D-4086-83D1-7DF5059BC276}" sourceName="Customer_Segment">
  <pivotTables>
    <pivotTable tabId="6" name="PivotTable2"/>
    <pivotTable tabId="6" name="PivotTable1"/>
    <pivotTable tabId="6" name="PivotTable3"/>
    <pivotTable tabId="6" name="PivotTable4"/>
  </pivotTables>
  <data>
    <tabular pivotCacheId="135877469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F3E018A-69D5-4EC6-99DD-16F9F647C8BA}" cache="Slicer_Region" caption="Region" style="SlicerStyleLight4" rowHeight="234950"/>
  <slicer name="Payment_Method" xr10:uid="{0CC8E981-4691-41B9-878A-A039F2C86776}" cache="Slicer_Payment_Method" caption="Payment_Method" style="SlicerStyleLight4" rowHeight="234950"/>
  <slicer name="Category" xr10:uid="{869D9916-E20E-4398-9D18-F97C1B7DB55F}" cache="Slicer_Category" caption="Category" style="SlicerStyleLight4" rowHeight="234950"/>
  <slicer name="Customer_Segment" xr10:uid="{39CA36DE-F4A1-4D02-9636-CC63A3EEF3BE}" cache="Slicer_Customer_Segment" caption="Customer_Segment"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375426-0E96-4304-B29B-62498E4A7A99}" cache="Slicer_Region" caption="Region" style="SlicerStyleLight4" rowHeight="234950"/>
  <slicer name="Payment_Method 1" xr10:uid="{022D9424-7D01-41E2-9FB3-DA210A8856EC}" cache="Slicer_Payment_Method" caption="Payment_Method" style="SlicerStyleLight4" rowHeight="234950"/>
  <slicer name="Category 1" xr10:uid="{FB6504B3-F152-4BF1-8012-66B993371016}" cache="Slicer_Category" caption="Category" style="SlicerStyleLight4" rowHeight="234950"/>
  <slicer name="Customer_Segment 1" xr10:uid="{DCE60429-68DE-4EE1-99A3-7B75C524AAA8}" cache="Slicer_Customer_Segment" caption="Customer_Segment"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42ABC-EC2D-4719-8EFA-48EFF37BEB97}" name="Sales_Data" displayName="Sales_Data" ref="A4:V254" totalsRowShown="0" headerRowDxfId="699" dataDxfId="698">
  <autoFilter ref="A4:V254" xr:uid="{53942ABC-EC2D-4719-8EFA-48EFF37BEB97}"/>
  <tableColumns count="22">
    <tableColumn id="1" xr3:uid="{6DFDC48D-1725-4F6C-9A90-128A75D26788}" name="Transaction_ID" dataDxfId="697"/>
    <tableColumn id="2" xr3:uid="{4FF95BBA-0384-47C0-953C-FD7C479EDC6B}" name="Date" dataDxfId="696"/>
    <tableColumn id="3" xr3:uid="{28E3A514-9464-4C7E-9E74-78BE04AC38AF}" name="Customer_ID" dataDxfId="695"/>
    <tableColumn id="4" xr3:uid="{9C482F0A-8113-48C9-AE56-5C30D0FA65A4}" name="Customer_Name" dataDxfId="694"/>
    <tableColumn id="5" xr3:uid="{C726907F-9807-4368-A697-C0E85A436C85}" name="Product_ID" dataDxfId="693"/>
    <tableColumn id="6" xr3:uid="{0FC3FB56-661A-448F-A9FB-C069DDB91F1D}" name="Product_Name" dataDxfId="692"/>
    <tableColumn id="7" xr3:uid="{50F01A2E-B48D-4CE8-86A6-BA7A1B231575}" name="Category" dataDxfId="691"/>
    <tableColumn id="8" xr3:uid="{E671AEE2-AF04-4F85-B61A-20171746B130}" name="Quantity" dataDxfId="690"/>
    <tableColumn id="9" xr3:uid="{BB6D5C91-C2D7-4EEC-BE14-972B0789D052}" name="Unit_Price" dataDxfId="689"/>
    <tableColumn id="10" xr3:uid="{7C0F08B7-FA7B-4990-B4A0-2C82DA44A1AF}" name="Payment_Method" dataDxfId="688"/>
    <tableColumn id="11" xr3:uid="{01EB68A5-068D-4ED3-A454-009275A2BFAC}" name="Region" dataDxfId="687"/>
    <tableColumn id="12" xr3:uid="{D588F54D-D8D5-4A20-B960-35785AA71EDF}" name="Customer_Segment" dataDxfId="686"/>
    <tableColumn id="13" xr3:uid="{C2594910-6A2B-4AAB-AA48-203F504648B3}" name="Customer_Since" dataDxfId="685"/>
    <tableColumn id="14" xr3:uid="{B01FB725-004D-4BF9-9F71-12A42142698B}" name="Total_Amount" dataDxfId="684"/>
    <tableColumn id="15" xr3:uid="{575A5FF4-2A9B-4880-990A-C49895F8E830}" name="Timestamp" dataDxfId="683">
      <calculatedColumnFormula>IF(A5="","",IF(O5=0,NOW(),O5))</calculatedColumnFormula>
    </tableColumn>
    <tableColumn id="16" xr3:uid="{E020ACA1-03B7-4173-A282-C3394ECBF5F5}" name="Today's Date" dataDxfId="682">
      <calculatedColumnFormula>TODAY()</calculatedColumnFormula>
    </tableColumn>
    <tableColumn id="17" xr3:uid="{F0F3DABB-7B05-4E8A-9A07-0A4B559F17D7}" name="Customer Tenure" dataDxfId="681">
      <calculatedColumnFormula>DATEDIF(Sales_Data[[#This Row],[Customer_Since]],Sales_Data[[#This Row],[Date]],"d")</calculatedColumnFormula>
    </tableColumn>
    <tableColumn id="18" xr3:uid="{E421B96A-E881-4A9C-95D9-2918B67CA2B9}" name="Month End" dataDxfId="680">
      <calculatedColumnFormula>EOMONTH(B5,0)</calculatedColumnFormula>
    </tableColumn>
    <tableColumn id="19" xr3:uid="{D633305B-1E1F-40AB-B4E6-26AB2486362A}" name="Month" dataDxfId="679">
      <calculatedColumnFormula>TEXT(B5,"mmm-yy")</calculatedColumnFormula>
    </tableColumn>
    <tableColumn id="20" xr3:uid="{EDF2AD9A-BE24-407E-A678-332765CFDDDA}" name="Product Frequency" dataDxfId="678">
      <calculatedColumnFormula>COUNTIF(Sales_Data[Product_Name],F5)</calculatedColumnFormula>
    </tableColumn>
    <tableColumn id="21" xr3:uid="{1F49A624-9F0B-4FA0-8DED-1039CF685261}" name="Customer Frequency" dataDxfId="677">
      <calculatedColumnFormula>COUNTIF(Sales_Data[Customer_ID],C5)</calculatedColumnFormula>
    </tableColumn>
    <tableColumn id="22" xr3:uid="{19AA8249-EDAC-4245-8172-66C9A74692C3}" name="Customer Abbreviation" dataDxfId="676">
      <calculatedColumnFormula>UPPER(LEFT(D5,1)&amp;LEFT(MID(D5,FIND(" ",D5)+1,99),1))</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B47B0-A982-4FD6-8AF7-171998645550}">
  <dimension ref="A1:I18"/>
  <sheetViews>
    <sheetView workbookViewId="0">
      <selection activeCell="L16" sqref="L16"/>
    </sheetView>
  </sheetViews>
  <sheetFormatPr defaultRowHeight="14.4" x14ac:dyDescent="0.3"/>
  <sheetData>
    <row r="1" spans="1:9" x14ac:dyDescent="0.3">
      <c r="A1" t="s">
        <v>449</v>
      </c>
    </row>
    <row r="2" spans="1:9" ht="15" thickBot="1" x14ac:dyDescent="0.35"/>
    <row r="3" spans="1:9" x14ac:dyDescent="0.3">
      <c r="A3" s="41" t="s">
        <v>450</v>
      </c>
      <c r="B3" s="41"/>
    </row>
    <row r="4" spans="1:9" x14ac:dyDescent="0.3">
      <c r="A4" t="s">
        <v>451</v>
      </c>
      <c r="B4">
        <v>1.534701849383825E-2</v>
      </c>
    </row>
    <row r="5" spans="1:9" x14ac:dyDescent="0.3">
      <c r="A5" t="s">
        <v>452</v>
      </c>
      <c r="B5">
        <v>2.3553097665021327E-4</v>
      </c>
    </row>
    <row r="6" spans="1:9" x14ac:dyDescent="0.3">
      <c r="A6" t="s">
        <v>453</v>
      </c>
      <c r="B6">
        <v>-3.7957773661858748E-3</v>
      </c>
    </row>
    <row r="7" spans="1:9" x14ac:dyDescent="0.3">
      <c r="A7" t="s">
        <v>454</v>
      </c>
      <c r="B7">
        <v>1034.4107250026311</v>
      </c>
    </row>
    <row r="8" spans="1:9" ht="15" thickBot="1" x14ac:dyDescent="0.35">
      <c r="A8" s="39" t="s">
        <v>455</v>
      </c>
      <c r="B8" s="39">
        <v>250</v>
      </c>
    </row>
    <row r="10" spans="1:9" ht="15" thickBot="1" x14ac:dyDescent="0.35">
      <c r="A10" t="s">
        <v>456</v>
      </c>
    </row>
    <row r="11" spans="1:9" x14ac:dyDescent="0.3">
      <c r="A11" s="40"/>
      <c r="B11" s="40" t="s">
        <v>461</v>
      </c>
      <c r="C11" s="40" t="s">
        <v>462</v>
      </c>
      <c r="D11" s="40" t="s">
        <v>463</v>
      </c>
      <c r="E11" s="40" t="s">
        <v>464</v>
      </c>
      <c r="F11" s="40" t="s">
        <v>465</v>
      </c>
    </row>
    <row r="12" spans="1:9" x14ac:dyDescent="0.3">
      <c r="A12" t="s">
        <v>457</v>
      </c>
      <c r="B12">
        <v>1</v>
      </c>
      <c r="C12">
        <v>62515.548380106688</v>
      </c>
      <c r="D12">
        <v>62515.548380106688</v>
      </c>
      <c r="E12">
        <v>5.8425443210953595E-2</v>
      </c>
      <c r="F12">
        <v>0.80920186841998809</v>
      </c>
    </row>
    <row r="13" spans="1:9" x14ac:dyDescent="0.3">
      <c r="A13" t="s">
        <v>458</v>
      </c>
      <c r="B13">
        <v>248</v>
      </c>
      <c r="C13">
        <v>265361375.90411636</v>
      </c>
      <c r="D13">
        <v>1070005.5480004691</v>
      </c>
    </row>
    <row r="14" spans="1:9" ht="15" thickBot="1" x14ac:dyDescent="0.35">
      <c r="A14" s="39" t="s">
        <v>459</v>
      </c>
      <c r="B14" s="39">
        <v>249</v>
      </c>
      <c r="C14" s="39">
        <v>265423891.45249647</v>
      </c>
      <c r="D14" s="39"/>
      <c r="E14" s="39"/>
      <c r="F14" s="39"/>
    </row>
    <row r="15" spans="1:9" ht="15" thickBot="1" x14ac:dyDescent="0.35"/>
    <row r="16" spans="1:9" x14ac:dyDescent="0.3">
      <c r="A16" s="40"/>
      <c r="B16" s="40" t="s">
        <v>466</v>
      </c>
      <c r="C16" s="40" t="s">
        <v>454</v>
      </c>
      <c r="D16" s="40" t="s">
        <v>467</v>
      </c>
      <c r="E16" s="40" t="s">
        <v>468</v>
      </c>
      <c r="F16" s="40" t="s">
        <v>469</v>
      </c>
      <c r="G16" s="40" t="s">
        <v>470</v>
      </c>
      <c r="H16" s="40" t="s">
        <v>471</v>
      </c>
      <c r="I16" s="40" t="s">
        <v>472</v>
      </c>
    </row>
    <row r="17" spans="1:9" x14ac:dyDescent="0.3">
      <c r="A17" t="s">
        <v>460</v>
      </c>
      <c r="B17">
        <v>951.64269667889221</v>
      </c>
      <c r="C17">
        <v>158.41342240441807</v>
      </c>
      <c r="D17">
        <v>6.0073362612507468</v>
      </c>
      <c r="E17">
        <v>6.6824752809765987E-9</v>
      </c>
      <c r="F17">
        <v>639.63547670356274</v>
      </c>
      <c r="G17">
        <v>1263.6499166542217</v>
      </c>
      <c r="H17">
        <v>639.63547670356274</v>
      </c>
      <c r="I17">
        <v>1263.6499166542217</v>
      </c>
    </row>
    <row r="18" spans="1:9" ht="15" thickBot="1" x14ac:dyDescent="0.35">
      <c r="A18" s="39" t="s">
        <v>401</v>
      </c>
      <c r="B18" s="39">
        <v>-4.8982802875089042E-2</v>
      </c>
      <c r="C18" s="39">
        <v>0.20264814130376332</v>
      </c>
      <c r="D18" s="39">
        <v>-0.24171355611727682</v>
      </c>
      <c r="E18" s="39">
        <v>0.80920186842013808</v>
      </c>
      <c r="F18" s="39">
        <v>-0.4481136482395634</v>
      </c>
      <c r="G18" s="39">
        <v>0.3501480424893853</v>
      </c>
      <c r="H18" s="39">
        <v>-0.4481136482395634</v>
      </c>
      <c r="I18" s="39">
        <v>0.3501480424893853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K1" zoomScale="63" zoomScaleNormal="63" workbookViewId="0">
      <selection activeCell="X22" sqref="X22"/>
    </sheetView>
  </sheetViews>
  <sheetFormatPr defaultColWidth="14.44140625" defaultRowHeight="15" customHeight="1" x14ac:dyDescent="0.3"/>
  <cols>
    <col min="1" max="1" width="21.109375" bestFit="1" customWidth="1"/>
    <col min="2" max="2" width="11.5546875" bestFit="1" customWidth="1"/>
    <col min="3" max="3" width="19.33203125" bestFit="1" customWidth="1"/>
    <col min="4" max="4" width="23.109375" bestFit="1" customWidth="1"/>
    <col min="5" max="5" width="17.44140625" bestFit="1" customWidth="1"/>
    <col min="6" max="6" width="21.21875" bestFit="1" customWidth="1"/>
    <col min="7" max="7" width="15.44140625" bestFit="1" customWidth="1"/>
    <col min="8" max="8" width="15.33203125" bestFit="1" customWidth="1"/>
    <col min="9" max="9" width="17" bestFit="1" customWidth="1"/>
    <col min="10" max="10" width="24.44140625" bestFit="1" customWidth="1"/>
    <col min="11" max="11" width="13.6640625" bestFit="1" customWidth="1"/>
    <col min="12" max="12" width="26" bestFit="1" customWidth="1"/>
    <col min="13" max="13" width="22.44140625" bestFit="1" customWidth="1"/>
    <col min="14" max="14" width="20.6640625" bestFit="1" customWidth="1"/>
    <col min="15" max="15" width="27" bestFit="1" customWidth="1"/>
    <col min="16" max="16" width="30.109375" bestFit="1" customWidth="1"/>
    <col min="17" max="17" width="23.5546875" bestFit="1" customWidth="1"/>
    <col min="18" max="18" width="17.44140625" bestFit="1" customWidth="1"/>
    <col min="19" max="19" width="13.5546875" bestFit="1" customWidth="1"/>
    <col min="20" max="20" width="25.109375" bestFit="1" customWidth="1"/>
    <col min="21" max="21" width="26.88671875" bestFit="1" customWidth="1"/>
    <col min="22" max="22" width="29.44140625" bestFit="1" customWidth="1"/>
    <col min="23" max="26" width="8.6640625" customWidth="1"/>
  </cols>
  <sheetData>
    <row r="1" spans="1:26" ht="28.8" x14ac:dyDescent="0.3">
      <c r="A1" s="58" t="s">
        <v>407</v>
      </c>
      <c r="B1" s="58"/>
      <c r="C1" s="58"/>
      <c r="D1" s="58"/>
      <c r="E1" s="58"/>
      <c r="F1" s="58"/>
      <c r="G1" s="58"/>
      <c r="H1" s="58"/>
      <c r="I1" s="58"/>
      <c r="J1" s="58"/>
      <c r="K1" s="58"/>
      <c r="L1" s="58"/>
      <c r="M1" s="58"/>
      <c r="N1" s="58"/>
      <c r="O1" s="58"/>
      <c r="P1" s="58"/>
      <c r="Q1" s="58"/>
      <c r="R1" s="58"/>
      <c r="S1" s="58"/>
      <c r="T1" s="58"/>
      <c r="U1" s="58"/>
      <c r="V1" s="58"/>
      <c r="W1" s="1"/>
      <c r="X1" s="1"/>
      <c r="Y1" s="1"/>
      <c r="Z1" s="1"/>
    </row>
    <row r="2" spans="1:26" ht="14.4" x14ac:dyDescent="0.3"/>
    <row r="3" spans="1:26" ht="14.4" x14ac:dyDescent="0.3"/>
    <row r="4" spans="1:26" ht="15.6" x14ac:dyDescent="0.3">
      <c r="A4" s="10" t="s">
        <v>0</v>
      </c>
      <c r="B4" s="10" t="s">
        <v>1</v>
      </c>
      <c r="C4" s="10" t="s">
        <v>2</v>
      </c>
      <c r="D4" s="10" t="s">
        <v>3</v>
      </c>
      <c r="E4" s="10" t="s">
        <v>4</v>
      </c>
      <c r="F4" s="10" t="s">
        <v>5</v>
      </c>
      <c r="G4" s="10" t="s">
        <v>6</v>
      </c>
      <c r="H4" s="10" t="s">
        <v>7</v>
      </c>
      <c r="I4" s="10" t="s">
        <v>8</v>
      </c>
      <c r="J4" s="10" t="s">
        <v>9</v>
      </c>
      <c r="K4" s="10" t="s">
        <v>10</v>
      </c>
      <c r="L4" s="10" t="s">
        <v>11</v>
      </c>
      <c r="M4" s="10" t="s">
        <v>12</v>
      </c>
      <c r="N4" s="10" t="s">
        <v>13</v>
      </c>
      <c r="O4" s="10" t="s">
        <v>399</v>
      </c>
      <c r="P4" s="10" t="s">
        <v>400</v>
      </c>
      <c r="Q4" s="10" t="s">
        <v>401</v>
      </c>
      <c r="R4" s="10" t="s">
        <v>402</v>
      </c>
      <c r="S4" s="10" t="s">
        <v>403</v>
      </c>
      <c r="T4" s="10" t="s">
        <v>404</v>
      </c>
      <c r="U4" s="10" t="s">
        <v>405</v>
      </c>
      <c r="V4" s="10" t="s">
        <v>406</v>
      </c>
    </row>
    <row r="5" spans="1:26" ht="14.4" x14ac:dyDescent="0.3">
      <c r="A5" s="2" t="s">
        <v>14</v>
      </c>
      <c r="B5" s="3">
        <v>45393</v>
      </c>
      <c r="C5" s="2" t="s">
        <v>15</v>
      </c>
      <c r="D5" s="2" t="s">
        <v>16</v>
      </c>
      <c r="E5" s="2" t="s">
        <v>17</v>
      </c>
      <c r="F5" s="2" t="s">
        <v>18</v>
      </c>
      <c r="G5" s="2" t="s">
        <v>19</v>
      </c>
      <c r="H5" s="2">
        <v>3</v>
      </c>
      <c r="I5" s="4">
        <v>249.99</v>
      </c>
      <c r="J5" s="2" t="s">
        <v>20</v>
      </c>
      <c r="K5" s="2" t="s">
        <v>21</v>
      </c>
      <c r="L5" s="2" t="s">
        <v>22</v>
      </c>
      <c r="M5" s="3">
        <v>44425</v>
      </c>
      <c r="N5" s="4">
        <v>749.97</v>
      </c>
      <c r="O5" s="5">
        <f t="shared" ref="O5:O68" ca="1" si="0">IF(A5="","",IF(O5=0,NOW(),O5))</f>
        <v>46301.61373611111</v>
      </c>
      <c r="P5" s="6">
        <f t="shared" ref="P5:P68" ca="1" si="1">TODAY()</f>
        <v>46302</v>
      </c>
      <c r="Q5" s="7">
        <f>DATEDIF(Sales_Data[[#This Row],[Customer_Since]],Sales_Data[[#This Row],[Date]],"d")</f>
        <v>968</v>
      </c>
      <c r="R5" s="8">
        <f t="shared" ref="R5:R68" si="2">EOMONTH(B5,0)</f>
        <v>45412</v>
      </c>
      <c r="S5" s="9" t="str">
        <f t="shared" ref="S5:S68" si="3">TEXT(B5,"mmm-yy")</f>
        <v>Apr-24</v>
      </c>
      <c r="T5" s="9">
        <f>COUNTIF(Sales_Data[Product_Name],F5)</f>
        <v>26</v>
      </c>
      <c r="U5" s="9">
        <f>COUNTIF(Sales_Data[Customer_ID],C5)</f>
        <v>8</v>
      </c>
      <c r="V5" s="9" t="str">
        <f t="shared" ref="V5:V68" si="4">UPPER(LEFT(D5,1)&amp;LEFT(MID(D5,FIND(" ",D5)+1,99),1))</f>
        <v>PB</v>
      </c>
    </row>
    <row r="6" spans="1:26" ht="14.4" x14ac:dyDescent="0.3">
      <c r="A6" s="2" t="s">
        <v>23</v>
      </c>
      <c r="B6" s="3">
        <v>45396</v>
      </c>
      <c r="C6" s="2" t="s">
        <v>24</v>
      </c>
      <c r="D6" s="2" t="s">
        <v>25</v>
      </c>
      <c r="E6" s="2" t="s">
        <v>17</v>
      </c>
      <c r="F6" s="2" t="s">
        <v>18</v>
      </c>
      <c r="G6" s="2" t="s">
        <v>19</v>
      </c>
      <c r="H6" s="2">
        <v>3</v>
      </c>
      <c r="I6" s="4">
        <v>249.99</v>
      </c>
      <c r="J6" s="2" t="s">
        <v>26</v>
      </c>
      <c r="K6" s="2" t="s">
        <v>21</v>
      </c>
      <c r="L6" s="2" t="s">
        <v>27</v>
      </c>
      <c r="M6" s="3">
        <v>44575</v>
      </c>
      <c r="N6" s="4">
        <v>749.97</v>
      </c>
      <c r="O6" s="5">
        <f t="shared" ca="1" si="0"/>
        <v>46301.61373611111</v>
      </c>
      <c r="P6" s="6">
        <f t="shared" ca="1" si="1"/>
        <v>46302</v>
      </c>
      <c r="Q6" s="7">
        <f>DATEDIF(Sales_Data[[#This Row],[Customer_Since]],Sales_Data[[#This Row],[Date]],"d")</f>
        <v>821</v>
      </c>
      <c r="R6" s="8">
        <f t="shared" si="2"/>
        <v>45412</v>
      </c>
      <c r="S6" s="9" t="str">
        <f t="shared" si="3"/>
        <v>Apr-24</v>
      </c>
      <c r="T6" s="9">
        <f>COUNTIF(Sales_Data[Product_Name],F6)</f>
        <v>26</v>
      </c>
      <c r="U6" s="9">
        <f>COUNTIF(Sales_Data[Customer_ID],C6)</f>
        <v>5</v>
      </c>
      <c r="V6" s="9" t="str">
        <f t="shared" si="4"/>
        <v>JJ</v>
      </c>
    </row>
    <row r="7" spans="1:26" ht="14.4" x14ac:dyDescent="0.3">
      <c r="A7" s="2" t="s">
        <v>28</v>
      </c>
      <c r="B7" s="3">
        <v>45399</v>
      </c>
      <c r="C7" s="2" t="s">
        <v>29</v>
      </c>
      <c r="D7" s="2" t="s">
        <v>30</v>
      </c>
      <c r="E7" s="2" t="s">
        <v>31</v>
      </c>
      <c r="F7" s="2" t="s">
        <v>32</v>
      </c>
      <c r="G7" s="2" t="s">
        <v>33</v>
      </c>
      <c r="H7" s="2">
        <v>3</v>
      </c>
      <c r="I7" s="4">
        <v>59.99</v>
      </c>
      <c r="J7" s="2" t="s">
        <v>34</v>
      </c>
      <c r="K7" s="2" t="s">
        <v>35</v>
      </c>
      <c r="L7" s="2" t="s">
        <v>36</v>
      </c>
      <c r="M7" s="3">
        <v>45262</v>
      </c>
      <c r="N7" s="4">
        <v>179.97</v>
      </c>
      <c r="O7" s="5">
        <f t="shared" ca="1" si="0"/>
        <v>46301.61373611111</v>
      </c>
      <c r="P7" s="6">
        <f t="shared" ca="1" si="1"/>
        <v>46302</v>
      </c>
      <c r="Q7" s="7">
        <f>DATEDIF(Sales_Data[[#This Row],[Customer_Since]],Sales_Data[[#This Row],[Date]],"d")</f>
        <v>137</v>
      </c>
      <c r="R7" s="8">
        <f t="shared" si="2"/>
        <v>45412</v>
      </c>
      <c r="S7" s="9" t="str">
        <f t="shared" si="3"/>
        <v>Apr-24</v>
      </c>
      <c r="T7" s="9">
        <f>COUNTIF(Sales_Data[Product_Name],F7)</f>
        <v>29</v>
      </c>
      <c r="U7" s="9">
        <f>COUNTIF(Sales_Data[Customer_ID],C7)</f>
        <v>6</v>
      </c>
      <c r="V7" s="9" t="str">
        <f t="shared" si="4"/>
        <v>KS</v>
      </c>
    </row>
    <row r="8" spans="1:26" ht="14.4" x14ac:dyDescent="0.3">
      <c r="A8" s="2" t="s">
        <v>37</v>
      </c>
      <c r="B8" s="3">
        <v>45400</v>
      </c>
      <c r="C8" s="2" t="s">
        <v>38</v>
      </c>
      <c r="D8" s="2" t="s">
        <v>39</v>
      </c>
      <c r="E8" s="2" t="s">
        <v>31</v>
      </c>
      <c r="F8" s="2" t="s">
        <v>32</v>
      </c>
      <c r="G8" s="2" t="s">
        <v>33</v>
      </c>
      <c r="H8" s="2">
        <v>3</v>
      </c>
      <c r="I8" s="4">
        <v>59.99</v>
      </c>
      <c r="J8" s="2" t="s">
        <v>20</v>
      </c>
      <c r="K8" s="2" t="s">
        <v>40</v>
      </c>
      <c r="L8" s="2" t="s">
        <v>27</v>
      </c>
      <c r="M8" s="3">
        <v>45114</v>
      </c>
      <c r="N8" s="4">
        <v>179.97</v>
      </c>
      <c r="O8" s="5">
        <f t="shared" ca="1" si="0"/>
        <v>46301.61373611111</v>
      </c>
      <c r="P8" s="6">
        <f t="shared" ca="1" si="1"/>
        <v>46302</v>
      </c>
      <c r="Q8" s="7">
        <f>DATEDIF(Sales_Data[[#This Row],[Customer_Since]],Sales_Data[[#This Row],[Date]],"d")</f>
        <v>286</v>
      </c>
      <c r="R8" s="8">
        <f t="shared" si="2"/>
        <v>45412</v>
      </c>
      <c r="S8" s="9" t="str">
        <f t="shared" si="3"/>
        <v>Apr-24</v>
      </c>
      <c r="T8" s="9">
        <f>COUNTIF(Sales_Data[Product_Name],F8)</f>
        <v>29</v>
      </c>
      <c r="U8" s="9">
        <f>COUNTIF(Sales_Data[Customer_ID],C8)</f>
        <v>6</v>
      </c>
      <c r="V8" s="9" t="str">
        <f t="shared" si="4"/>
        <v>KB</v>
      </c>
    </row>
    <row r="9" spans="1:26" ht="14.4" x14ac:dyDescent="0.3">
      <c r="A9" s="2" t="s">
        <v>41</v>
      </c>
      <c r="B9" s="3">
        <v>45400</v>
      </c>
      <c r="C9" s="2" t="s">
        <v>42</v>
      </c>
      <c r="D9" s="2" t="s">
        <v>43</v>
      </c>
      <c r="E9" s="2" t="s">
        <v>44</v>
      </c>
      <c r="F9" s="2" t="s">
        <v>45</v>
      </c>
      <c r="G9" s="2" t="s">
        <v>46</v>
      </c>
      <c r="H9" s="2">
        <v>5</v>
      </c>
      <c r="I9" s="4">
        <v>149.99</v>
      </c>
      <c r="J9" s="2" t="s">
        <v>26</v>
      </c>
      <c r="K9" s="2" t="s">
        <v>40</v>
      </c>
      <c r="L9" s="2" t="s">
        <v>27</v>
      </c>
      <c r="M9" s="3">
        <v>45295</v>
      </c>
      <c r="N9" s="4">
        <v>749.95</v>
      </c>
      <c r="O9" s="5">
        <f t="shared" ca="1" si="0"/>
        <v>46301.61373611111</v>
      </c>
      <c r="P9" s="6">
        <f t="shared" ca="1" si="1"/>
        <v>46302</v>
      </c>
      <c r="Q9" s="7">
        <f>DATEDIF(Sales_Data[[#This Row],[Customer_Since]],Sales_Data[[#This Row],[Date]],"d")</f>
        <v>105</v>
      </c>
      <c r="R9" s="8">
        <f t="shared" si="2"/>
        <v>45412</v>
      </c>
      <c r="S9" s="9" t="str">
        <f t="shared" si="3"/>
        <v>Apr-24</v>
      </c>
      <c r="T9" s="9">
        <f>COUNTIF(Sales_Data[Product_Name],F9)</f>
        <v>35</v>
      </c>
      <c r="U9" s="9">
        <f>COUNTIF(Sales_Data[Customer_ID],C9)</f>
        <v>9</v>
      </c>
      <c r="V9" s="9" t="str">
        <f t="shared" si="4"/>
        <v>MB</v>
      </c>
    </row>
    <row r="10" spans="1:26" ht="14.4" x14ac:dyDescent="0.3">
      <c r="A10" s="2" t="s">
        <v>47</v>
      </c>
      <c r="B10" s="3">
        <v>45403</v>
      </c>
      <c r="C10" s="2" t="s">
        <v>48</v>
      </c>
      <c r="D10" s="2" t="s">
        <v>49</v>
      </c>
      <c r="E10" s="2" t="s">
        <v>31</v>
      </c>
      <c r="F10" s="2" t="s">
        <v>32</v>
      </c>
      <c r="G10" s="2" t="s">
        <v>33</v>
      </c>
      <c r="H10" s="2">
        <v>2</v>
      </c>
      <c r="I10" s="4">
        <v>59.99</v>
      </c>
      <c r="J10" s="2" t="s">
        <v>20</v>
      </c>
      <c r="K10" s="2" t="s">
        <v>50</v>
      </c>
      <c r="L10" s="2" t="s">
        <v>36</v>
      </c>
      <c r="M10" s="3">
        <v>44746</v>
      </c>
      <c r="N10" s="4">
        <v>119.98</v>
      </c>
      <c r="O10" s="5">
        <f t="shared" ca="1" si="0"/>
        <v>46301.61373611111</v>
      </c>
      <c r="P10" s="6">
        <f t="shared" ca="1" si="1"/>
        <v>46302</v>
      </c>
      <c r="Q10" s="7">
        <f>DATEDIF(Sales_Data[[#This Row],[Customer_Since]],Sales_Data[[#This Row],[Date]],"d")</f>
        <v>657</v>
      </c>
      <c r="R10" s="8">
        <f t="shared" si="2"/>
        <v>45412</v>
      </c>
      <c r="S10" s="9" t="str">
        <f t="shared" si="3"/>
        <v>Apr-24</v>
      </c>
      <c r="T10" s="9">
        <f>COUNTIF(Sales_Data[Product_Name],F10)</f>
        <v>29</v>
      </c>
      <c r="U10" s="9">
        <f>COUNTIF(Sales_Data[Customer_ID],C10)</f>
        <v>6</v>
      </c>
      <c r="V10" s="9" t="str">
        <f t="shared" si="4"/>
        <v>DN</v>
      </c>
    </row>
    <row r="11" spans="1:26" ht="14.4" x14ac:dyDescent="0.3">
      <c r="A11" s="2" t="s">
        <v>51</v>
      </c>
      <c r="B11" s="3">
        <v>45403</v>
      </c>
      <c r="C11" s="2" t="s">
        <v>48</v>
      </c>
      <c r="D11" s="2" t="s">
        <v>49</v>
      </c>
      <c r="E11" s="2" t="s">
        <v>52</v>
      </c>
      <c r="F11" s="2" t="s">
        <v>53</v>
      </c>
      <c r="G11" s="2" t="s">
        <v>19</v>
      </c>
      <c r="H11" s="2">
        <v>5</v>
      </c>
      <c r="I11" s="4">
        <v>149.99</v>
      </c>
      <c r="J11" s="2" t="s">
        <v>26</v>
      </c>
      <c r="K11" s="2" t="s">
        <v>21</v>
      </c>
      <c r="L11" s="2" t="s">
        <v>36</v>
      </c>
      <c r="M11" s="3">
        <v>44418</v>
      </c>
      <c r="N11" s="4">
        <v>749.95</v>
      </c>
      <c r="O11" s="5">
        <f t="shared" ca="1" si="0"/>
        <v>46301.61373611111</v>
      </c>
      <c r="P11" s="6">
        <f t="shared" ca="1" si="1"/>
        <v>46302</v>
      </c>
      <c r="Q11" s="7">
        <f>DATEDIF(Sales_Data[[#This Row],[Customer_Since]],Sales_Data[[#This Row],[Date]],"d")</f>
        <v>985</v>
      </c>
      <c r="R11" s="8">
        <f t="shared" si="2"/>
        <v>45412</v>
      </c>
      <c r="S11" s="9" t="str">
        <f t="shared" si="3"/>
        <v>Apr-24</v>
      </c>
      <c r="T11" s="9">
        <f>COUNTIF(Sales_Data[Product_Name],F11)</f>
        <v>16</v>
      </c>
      <c r="U11" s="9">
        <f>COUNTIF(Sales_Data[Customer_ID],C11)</f>
        <v>6</v>
      </c>
      <c r="V11" s="9" t="str">
        <f t="shared" si="4"/>
        <v>DN</v>
      </c>
    </row>
    <row r="12" spans="1:26" ht="14.4" x14ac:dyDescent="0.3">
      <c r="A12" s="2" t="s">
        <v>54</v>
      </c>
      <c r="B12" s="3">
        <v>45403</v>
      </c>
      <c r="C12" s="2" t="s">
        <v>55</v>
      </c>
      <c r="D12" s="2" t="s">
        <v>56</v>
      </c>
      <c r="E12" s="2" t="s">
        <v>31</v>
      </c>
      <c r="F12" s="2" t="s">
        <v>32</v>
      </c>
      <c r="G12" s="2" t="s">
        <v>33</v>
      </c>
      <c r="H12" s="2">
        <v>3</v>
      </c>
      <c r="I12" s="4">
        <v>59.99</v>
      </c>
      <c r="J12" s="2" t="s">
        <v>57</v>
      </c>
      <c r="K12" s="2" t="s">
        <v>35</v>
      </c>
      <c r="L12" s="2" t="s">
        <v>22</v>
      </c>
      <c r="M12" s="3">
        <v>45007</v>
      </c>
      <c r="N12" s="4">
        <v>179.97</v>
      </c>
      <c r="O12" s="5">
        <f t="shared" ca="1" si="0"/>
        <v>46301.61373611111</v>
      </c>
      <c r="P12" s="6">
        <f t="shared" ca="1" si="1"/>
        <v>46302</v>
      </c>
      <c r="Q12" s="7">
        <f>DATEDIF(Sales_Data[[#This Row],[Customer_Since]],Sales_Data[[#This Row],[Date]],"d")</f>
        <v>396</v>
      </c>
      <c r="R12" s="8">
        <f t="shared" si="2"/>
        <v>45412</v>
      </c>
      <c r="S12" s="9" t="str">
        <f t="shared" si="3"/>
        <v>Apr-24</v>
      </c>
      <c r="T12" s="9">
        <f>COUNTIF(Sales_Data[Product_Name],F12)</f>
        <v>29</v>
      </c>
      <c r="U12" s="9">
        <f>COUNTIF(Sales_Data[Customer_ID],C12)</f>
        <v>9</v>
      </c>
      <c r="V12" s="9" t="str">
        <f t="shared" si="4"/>
        <v>CA</v>
      </c>
    </row>
    <row r="13" spans="1:26" ht="14.4" x14ac:dyDescent="0.3">
      <c r="A13" s="2" t="s">
        <v>58</v>
      </c>
      <c r="B13" s="3">
        <v>45405</v>
      </c>
      <c r="C13" s="2" t="s">
        <v>59</v>
      </c>
      <c r="D13" s="2" t="s">
        <v>60</v>
      </c>
      <c r="E13" s="2" t="s">
        <v>61</v>
      </c>
      <c r="F13" s="2" t="s">
        <v>62</v>
      </c>
      <c r="G13" s="2" t="s">
        <v>19</v>
      </c>
      <c r="H13" s="2">
        <v>3</v>
      </c>
      <c r="I13" s="4">
        <v>899.99</v>
      </c>
      <c r="J13" s="2" t="s">
        <v>34</v>
      </c>
      <c r="K13" s="2" t="s">
        <v>63</v>
      </c>
      <c r="L13" s="2" t="s">
        <v>36</v>
      </c>
      <c r="M13" s="3">
        <v>45299</v>
      </c>
      <c r="N13" s="4">
        <v>2699.97</v>
      </c>
      <c r="O13" s="5">
        <f t="shared" ca="1" si="0"/>
        <v>46301.61373611111</v>
      </c>
      <c r="P13" s="6">
        <f t="shared" ca="1" si="1"/>
        <v>46302</v>
      </c>
      <c r="Q13" s="7">
        <f>DATEDIF(Sales_Data[[#This Row],[Customer_Since]],Sales_Data[[#This Row],[Date]],"d")</f>
        <v>106</v>
      </c>
      <c r="R13" s="8">
        <f t="shared" si="2"/>
        <v>45412</v>
      </c>
      <c r="S13" s="9" t="str">
        <f t="shared" si="3"/>
        <v>Apr-24</v>
      </c>
      <c r="T13" s="9">
        <f>COUNTIF(Sales_Data[Product_Name],F13)</f>
        <v>24</v>
      </c>
      <c r="U13" s="9">
        <f>COUNTIF(Sales_Data[Customer_ID],C13)</f>
        <v>5</v>
      </c>
      <c r="V13" s="9" t="str">
        <f t="shared" si="4"/>
        <v>RT</v>
      </c>
    </row>
    <row r="14" spans="1:26" ht="14.4" x14ac:dyDescent="0.3">
      <c r="A14" s="2" t="s">
        <v>64</v>
      </c>
      <c r="B14" s="3">
        <v>45408</v>
      </c>
      <c r="C14" s="2" t="s">
        <v>65</v>
      </c>
      <c r="D14" s="2" t="s">
        <v>66</v>
      </c>
      <c r="E14" s="2" t="s">
        <v>31</v>
      </c>
      <c r="F14" s="2" t="s">
        <v>32</v>
      </c>
      <c r="G14" s="2" t="s">
        <v>33</v>
      </c>
      <c r="H14" s="2">
        <v>3</v>
      </c>
      <c r="I14" s="4">
        <v>59.99</v>
      </c>
      <c r="J14" s="2" t="s">
        <v>20</v>
      </c>
      <c r="K14" s="2" t="s">
        <v>50</v>
      </c>
      <c r="L14" s="2" t="s">
        <v>27</v>
      </c>
      <c r="M14" s="3">
        <v>45207</v>
      </c>
      <c r="N14" s="4">
        <v>179.97</v>
      </c>
      <c r="O14" s="5">
        <f t="shared" ca="1" si="0"/>
        <v>46301.61373611111</v>
      </c>
      <c r="P14" s="6">
        <f t="shared" ca="1" si="1"/>
        <v>46302</v>
      </c>
      <c r="Q14" s="7">
        <f>DATEDIF(Sales_Data[[#This Row],[Customer_Since]],Sales_Data[[#This Row],[Date]],"d")</f>
        <v>201</v>
      </c>
      <c r="R14" s="8">
        <f t="shared" si="2"/>
        <v>45412</v>
      </c>
      <c r="S14" s="9" t="str">
        <f t="shared" si="3"/>
        <v>Apr-24</v>
      </c>
      <c r="T14" s="9">
        <f>COUNTIF(Sales_Data[Product_Name],F14)</f>
        <v>29</v>
      </c>
      <c r="U14" s="9">
        <f>COUNTIF(Sales_Data[Customer_ID],C14)</f>
        <v>8</v>
      </c>
      <c r="V14" s="9" t="str">
        <f t="shared" si="4"/>
        <v>KH</v>
      </c>
    </row>
    <row r="15" spans="1:26" ht="14.4" x14ac:dyDescent="0.3">
      <c r="A15" s="2" t="s">
        <v>67</v>
      </c>
      <c r="B15" s="3">
        <v>45408</v>
      </c>
      <c r="C15" s="2" t="s">
        <v>68</v>
      </c>
      <c r="D15" s="2" t="s">
        <v>69</v>
      </c>
      <c r="E15" s="2" t="s">
        <v>44</v>
      </c>
      <c r="F15" s="2" t="s">
        <v>45</v>
      </c>
      <c r="G15" s="2" t="s">
        <v>46</v>
      </c>
      <c r="H15" s="2">
        <v>1</v>
      </c>
      <c r="I15" s="4">
        <v>149.99</v>
      </c>
      <c r="J15" s="2" t="s">
        <v>26</v>
      </c>
      <c r="K15" s="2" t="s">
        <v>50</v>
      </c>
      <c r="L15" s="2" t="s">
        <v>36</v>
      </c>
      <c r="M15" s="3">
        <v>45103</v>
      </c>
      <c r="N15" s="4">
        <v>149.99</v>
      </c>
      <c r="O15" s="5">
        <f t="shared" ca="1" si="0"/>
        <v>46301.61373611111</v>
      </c>
      <c r="P15" s="6">
        <f t="shared" ca="1" si="1"/>
        <v>46302</v>
      </c>
      <c r="Q15" s="7">
        <f>DATEDIF(Sales_Data[[#This Row],[Customer_Since]],Sales_Data[[#This Row],[Date]],"d")</f>
        <v>305</v>
      </c>
      <c r="R15" s="8">
        <f t="shared" si="2"/>
        <v>45412</v>
      </c>
      <c r="S15" s="9" t="str">
        <f t="shared" si="3"/>
        <v>Apr-24</v>
      </c>
      <c r="T15" s="9">
        <f>COUNTIF(Sales_Data[Product_Name],F15)</f>
        <v>35</v>
      </c>
      <c r="U15" s="9">
        <f>COUNTIF(Sales_Data[Customer_ID],C15)</f>
        <v>4</v>
      </c>
      <c r="V15" s="9" t="str">
        <f t="shared" si="4"/>
        <v>SG</v>
      </c>
    </row>
    <row r="16" spans="1:26" ht="14.4" x14ac:dyDescent="0.3">
      <c r="A16" s="2" t="s">
        <v>70</v>
      </c>
      <c r="B16" s="3">
        <v>45408</v>
      </c>
      <c r="C16" s="2" t="s">
        <v>38</v>
      </c>
      <c r="D16" s="2" t="s">
        <v>39</v>
      </c>
      <c r="E16" s="2" t="s">
        <v>44</v>
      </c>
      <c r="F16" s="2" t="s">
        <v>45</v>
      </c>
      <c r="G16" s="2" t="s">
        <v>46</v>
      </c>
      <c r="H16" s="2">
        <v>5</v>
      </c>
      <c r="I16" s="4">
        <v>149.99</v>
      </c>
      <c r="J16" s="2" t="s">
        <v>57</v>
      </c>
      <c r="K16" s="2" t="s">
        <v>40</v>
      </c>
      <c r="L16" s="2" t="s">
        <v>22</v>
      </c>
      <c r="M16" s="3">
        <v>44830</v>
      </c>
      <c r="N16" s="4">
        <v>749.95</v>
      </c>
      <c r="O16" s="5">
        <f t="shared" ca="1" si="0"/>
        <v>46301.61373611111</v>
      </c>
      <c r="P16" s="6">
        <f t="shared" ca="1" si="1"/>
        <v>46302</v>
      </c>
      <c r="Q16" s="7">
        <f>DATEDIF(Sales_Data[[#This Row],[Customer_Since]],Sales_Data[[#This Row],[Date]],"d")</f>
        <v>578</v>
      </c>
      <c r="R16" s="8">
        <f t="shared" si="2"/>
        <v>45412</v>
      </c>
      <c r="S16" s="9" t="str">
        <f t="shared" si="3"/>
        <v>Apr-24</v>
      </c>
      <c r="T16" s="9">
        <f>COUNTIF(Sales_Data[Product_Name],F16)</f>
        <v>35</v>
      </c>
      <c r="U16" s="9">
        <f>COUNTIF(Sales_Data[Customer_ID],C16)</f>
        <v>6</v>
      </c>
      <c r="V16" s="9" t="str">
        <f t="shared" si="4"/>
        <v>KB</v>
      </c>
    </row>
    <row r="17" spans="1:22" ht="14.4" x14ac:dyDescent="0.3">
      <c r="A17" s="2" t="s">
        <v>71</v>
      </c>
      <c r="B17" s="3">
        <v>45408</v>
      </c>
      <c r="C17" s="2" t="s">
        <v>72</v>
      </c>
      <c r="D17" s="2" t="s">
        <v>73</v>
      </c>
      <c r="E17" s="2" t="s">
        <v>44</v>
      </c>
      <c r="F17" s="2" t="s">
        <v>45</v>
      </c>
      <c r="G17" s="2" t="s">
        <v>46</v>
      </c>
      <c r="H17" s="2">
        <v>3</v>
      </c>
      <c r="I17" s="4">
        <v>149.99</v>
      </c>
      <c r="J17" s="2" t="s">
        <v>20</v>
      </c>
      <c r="K17" s="2" t="s">
        <v>40</v>
      </c>
      <c r="L17" s="2" t="s">
        <v>27</v>
      </c>
      <c r="M17" s="3">
        <v>44806</v>
      </c>
      <c r="N17" s="4">
        <v>449.97</v>
      </c>
      <c r="O17" s="5">
        <f t="shared" ca="1" si="0"/>
        <v>46301.61373611111</v>
      </c>
      <c r="P17" s="6">
        <f t="shared" ca="1" si="1"/>
        <v>46302</v>
      </c>
      <c r="Q17" s="7">
        <f>DATEDIF(Sales_Data[[#This Row],[Customer_Since]],Sales_Data[[#This Row],[Date]],"d")</f>
        <v>602</v>
      </c>
      <c r="R17" s="8">
        <f t="shared" si="2"/>
        <v>45412</v>
      </c>
      <c r="S17" s="9" t="str">
        <f t="shared" si="3"/>
        <v>Apr-24</v>
      </c>
      <c r="T17" s="9">
        <f>COUNTIF(Sales_Data[Product_Name],F17)</f>
        <v>35</v>
      </c>
      <c r="U17" s="9">
        <f>COUNTIF(Sales_Data[Customer_ID],C17)</f>
        <v>5</v>
      </c>
      <c r="V17" s="9" t="str">
        <f t="shared" si="4"/>
        <v>PR</v>
      </c>
    </row>
    <row r="18" spans="1:22" ht="14.4" x14ac:dyDescent="0.3">
      <c r="A18" s="2" t="s">
        <v>74</v>
      </c>
      <c r="B18" s="3">
        <v>45409</v>
      </c>
      <c r="C18" s="2" t="s">
        <v>75</v>
      </c>
      <c r="D18" s="2" t="s">
        <v>76</v>
      </c>
      <c r="E18" s="2" t="s">
        <v>31</v>
      </c>
      <c r="F18" s="2" t="s">
        <v>32</v>
      </c>
      <c r="G18" s="2" t="s">
        <v>33</v>
      </c>
      <c r="H18" s="2">
        <v>3</v>
      </c>
      <c r="I18" s="4">
        <v>59.99</v>
      </c>
      <c r="J18" s="2" t="s">
        <v>26</v>
      </c>
      <c r="K18" s="2" t="s">
        <v>40</v>
      </c>
      <c r="L18" s="2" t="s">
        <v>36</v>
      </c>
      <c r="M18" s="3">
        <v>45351</v>
      </c>
      <c r="N18" s="4">
        <v>179.97</v>
      </c>
      <c r="O18" s="5">
        <f t="shared" ca="1" si="0"/>
        <v>46301.61373611111</v>
      </c>
      <c r="P18" s="6">
        <f t="shared" ca="1" si="1"/>
        <v>46302</v>
      </c>
      <c r="Q18" s="7">
        <f>DATEDIF(Sales_Data[[#This Row],[Customer_Since]],Sales_Data[[#This Row],[Date]],"d")</f>
        <v>58</v>
      </c>
      <c r="R18" s="8">
        <f t="shared" si="2"/>
        <v>45412</v>
      </c>
      <c r="S18" s="9" t="str">
        <f t="shared" si="3"/>
        <v>Apr-24</v>
      </c>
      <c r="T18" s="9">
        <f>COUNTIF(Sales_Data[Product_Name],F18)</f>
        <v>29</v>
      </c>
      <c r="U18" s="9">
        <f>COUNTIF(Sales_Data[Customer_ID],C18)</f>
        <v>2</v>
      </c>
      <c r="V18" s="9" t="str">
        <f t="shared" si="4"/>
        <v>DG</v>
      </c>
    </row>
    <row r="19" spans="1:22" ht="14.4" x14ac:dyDescent="0.3">
      <c r="A19" s="2" t="s">
        <v>77</v>
      </c>
      <c r="B19" s="3">
        <v>45409</v>
      </c>
      <c r="C19" s="2" t="s">
        <v>78</v>
      </c>
      <c r="D19" s="2" t="s">
        <v>79</v>
      </c>
      <c r="E19" s="2" t="s">
        <v>80</v>
      </c>
      <c r="F19" s="2" t="s">
        <v>81</v>
      </c>
      <c r="G19" s="2" t="s">
        <v>19</v>
      </c>
      <c r="H19" s="2">
        <v>3</v>
      </c>
      <c r="I19" s="4">
        <v>699.99</v>
      </c>
      <c r="J19" s="2" t="s">
        <v>26</v>
      </c>
      <c r="K19" s="2" t="s">
        <v>50</v>
      </c>
      <c r="L19" s="2" t="s">
        <v>22</v>
      </c>
      <c r="M19" s="3">
        <v>44577</v>
      </c>
      <c r="N19" s="4">
        <v>2099.9699999999998</v>
      </c>
      <c r="O19" s="5">
        <f t="shared" ca="1" si="0"/>
        <v>46301.61373611111</v>
      </c>
      <c r="P19" s="6">
        <f t="shared" ca="1" si="1"/>
        <v>46302</v>
      </c>
      <c r="Q19" s="7">
        <f>DATEDIF(Sales_Data[[#This Row],[Customer_Since]],Sales_Data[[#This Row],[Date]],"d")</f>
        <v>832</v>
      </c>
      <c r="R19" s="8">
        <f t="shared" si="2"/>
        <v>45412</v>
      </c>
      <c r="S19" s="9" t="str">
        <f t="shared" si="3"/>
        <v>Apr-24</v>
      </c>
      <c r="T19" s="9">
        <f>COUNTIF(Sales_Data[Product_Name],F19)</f>
        <v>31</v>
      </c>
      <c r="U19" s="9">
        <f>COUNTIF(Sales_Data[Customer_ID],C19)</f>
        <v>2</v>
      </c>
      <c r="V19" s="9" t="str">
        <f t="shared" si="4"/>
        <v>MR</v>
      </c>
    </row>
    <row r="20" spans="1:22" ht="14.4" x14ac:dyDescent="0.3">
      <c r="A20" s="2" t="s">
        <v>82</v>
      </c>
      <c r="B20" s="3">
        <v>45409</v>
      </c>
      <c r="C20" s="2" t="s">
        <v>83</v>
      </c>
      <c r="D20" s="2" t="s">
        <v>84</v>
      </c>
      <c r="E20" s="2" t="s">
        <v>61</v>
      </c>
      <c r="F20" s="2" t="s">
        <v>62</v>
      </c>
      <c r="G20" s="2" t="s">
        <v>19</v>
      </c>
      <c r="H20" s="2">
        <v>1</v>
      </c>
      <c r="I20" s="4">
        <v>899.99</v>
      </c>
      <c r="J20" s="2" t="s">
        <v>57</v>
      </c>
      <c r="K20" s="2" t="s">
        <v>40</v>
      </c>
      <c r="L20" s="2" t="s">
        <v>36</v>
      </c>
      <c r="M20" s="3">
        <v>44920</v>
      </c>
      <c r="N20" s="4">
        <v>899.99</v>
      </c>
      <c r="O20" s="5">
        <f t="shared" ca="1" si="0"/>
        <v>46301.61373611111</v>
      </c>
      <c r="P20" s="6">
        <f t="shared" ca="1" si="1"/>
        <v>46302</v>
      </c>
      <c r="Q20" s="7">
        <f>DATEDIF(Sales_Data[[#This Row],[Customer_Since]],Sales_Data[[#This Row],[Date]],"d")</f>
        <v>489</v>
      </c>
      <c r="R20" s="8">
        <f t="shared" si="2"/>
        <v>45412</v>
      </c>
      <c r="S20" s="9" t="str">
        <f t="shared" si="3"/>
        <v>Apr-24</v>
      </c>
      <c r="T20" s="9">
        <f>COUNTIF(Sales_Data[Product_Name],F20)</f>
        <v>24</v>
      </c>
      <c r="U20" s="9">
        <f>COUNTIF(Sales_Data[Customer_ID],C20)</f>
        <v>3</v>
      </c>
      <c r="V20" s="9" t="str">
        <f t="shared" si="4"/>
        <v>GA</v>
      </c>
    </row>
    <row r="21" spans="1:22" ht="15.75" customHeight="1" x14ac:dyDescent="0.3">
      <c r="A21" s="2" t="s">
        <v>85</v>
      </c>
      <c r="B21" s="3">
        <v>45410</v>
      </c>
      <c r="C21" s="2" t="s">
        <v>86</v>
      </c>
      <c r="D21" s="2" t="s">
        <v>87</v>
      </c>
      <c r="E21" s="2" t="s">
        <v>44</v>
      </c>
      <c r="F21" s="2" t="s">
        <v>45</v>
      </c>
      <c r="G21" s="2" t="s">
        <v>46</v>
      </c>
      <c r="H21" s="2">
        <v>4</v>
      </c>
      <c r="I21" s="4">
        <v>149.99</v>
      </c>
      <c r="J21" s="2" t="s">
        <v>57</v>
      </c>
      <c r="K21" s="2" t="s">
        <v>40</v>
      </c>
      <c r="L21" s="2" t="s">
        <v>27</v>
      </c>
      <c r="M21" s="3">
        <v>45374</v>
      </c>
      <c r="N21" s="4">
        <v>599.96</v>
      </c>
      <c r="O21" s="5">
        <f t="shared" ca="1" si="0"/>
        <v>46301.61373611111</v>
      </c>
      <c r="P21" s="6">
        <f t="shared" ca="1" si="1"/>
        <v>46302</v>
      </c>
      <c r="Q21" s="7">
        <f>DATEDIF(Sales_Data[[#This Row],[Customer_Since]],Sales_Data[[#This Row],[Date]],"d")</f>
        <v>36</v>
      </c>
      <c r="R21" s="8">
        <f t="shared" si="2"/>
        <v>45412</v>
      </c>
      <c r="S21" s="9" t="str">
        <f t="shared" si="3"/>
        <v>Apr-24</v>
      </c>
      <c r="T21" s="9">
        <f>COUNTIF(Sales_Data[Product_Name],F21)</f>
        <v>35</v>
      </c>
      <c r="U21" s="9">
        <f>COUNTIF(Sales_Data[Customer_ID],C21)</f>
        <v>12</v>
      </c>
      <c r="V21" s="9" t="str">
        <f t="shared" si="4"/>
        <v>MC</v>
      </c>
    </row>
    <row r="22" spans="1:22" ht="15.75" customHeight="1" x14ac:dyDescent="0.3">
      <c r="A22" s="2" t="s">
        <v>88</v>
      </c>
      <c r="B22" s="3">
        <v>45410</v>
      </c>
      <c r="C22" s="2" t="s">
        <v>89</v>
      </c>
      <c r="D22" s="2" t="s">
        <v>90</v>
      </c>
      <c r="E22" s="2" t="s">
        <v>80</v>
      </c>
      <c r="F22" s="2" t="s">
        <v>81</v>
      </c>
      <c r="G22" s="2" t="s">
        <v>19</v>
      </c>
      <c r="H22" s="2">
        <v>2</v>
      </c>
      <c r="I22" s="4">
        <v>699.99</v>
      </c>
      <c r="J22" s="2" t="s">
        <v>20</v>
      </c>
      <c r="K22" s="2" t="s">
        <v>40</v>
      </c>
      <c r="L22" s="2" t="s">
        <v>22</v>
      </c>
      <c r="M22" s="3">
        <v>44781</v>
      </c>
      <c r="N22" s="4">
        <v>1399.98</v>
      </c>
      <c r="O22" s="5">
        <f t="shared" ca="1" si="0"/>
        <v>46301.61373611111</v>
      </c>
      <c r="P22" s="6">
        <f t="shared" ca="1" si="1"/>
        <v>46302</v>
      </c>
      <c r="Q22" s="7">
        <f>DATEDIF(Sales_Data[[#This Row],[Customer_Since]],Sales_Data[[#This Row],[Date]],"d")</f>
        <v>629</v>
      </c>
      <c r="R22" s="8">
        <f t="shared" si="2"/>
        <v>45412</v>
      </c>
      <c r="S22" s="9" t="str">
        <f t="shared" si="3"/>
        <v>Apr-24</v>
      </c>
      <c r="T22" s="9">
        <f>COUNTIF(Sales_Data[Product_Name],F22)</f>
        <v>31</v>
      </c>
      <c r="U22" s="9">
        <f>COUNTIF(Sales_Data[Customer_ID],C22)</f>
        <v>4</v>
      </c>
      <c r="V22" s="9" t="str">
        <f t="shared" si="4"/>
        <v>MG</v>
      </c>
    </row>
    <row r="23" spans="1:22" ht="15.75" customHeight="1" x14ac:dyDescent="0.3">
      <c r="A23" s="2" t="s">
        <v>91</v>
      </c>
      <c r="B23" s="3">
        <v>45410</v>
      </c>
      <c r="C23" s="2" t="s">
        <v>86</v>
      </c>
      <c r="D23" s="2" t="s">
        <v>87</v>
      </c>
      <c r="E23" s="2" t="s">
        <v>61</v>
      </c>
      <c r="F23" s="2" t="s">
        <v>62</v>
      </c>
      <c r="G23" s="2" t="s">
        <v>19</v>
      </c>
      <c r="H23" s="2">
        <v>4</v>
      </c>
      <c r="I23" s="4">
        <v>899.99</v>
      </c>
      <c r="J23" s="2" t="s">
        <v>26</v>
      </c>
      <c r="K23" s="2" t="s">
        <v>50</v>
      </c>
      <c r="L23" s="2" t="s">
        <v>36</v>
      </c>
      <c r="M23" s="3">
        <v>45327</v>
      </c>
      <c r="N23" s="4">
        <v>3599.96</v>
      </c>
      <c r="O23" s="5">
        <f t="shared" ca="1" si="0"/>
        <v>46301.61373611111</v>
      </c>
      <c r="P23" s="6">
        <f t="shared" ca="1" si="1"/>
        <v>46302</v>
      </c>
      <c r="Q23" s="7">
        <f>DATEDIF(Sales_Data[[#This Row],[Customer_Since]],Sales_Data[[#This Row],[Date]],"d")</f>
        <v>83</v>
      </c>
      <c r="R23" s="8">
        <f t="shared" si="2"/>
        <v>45412</v>
      </c>
      <c r="S23" s="9" t="str">
        <f t="shared" si="3"/>
        <v>Apr-24</v>
      </c>
      <c r="T23" s="9">
        <f>COUNTIF(Sales_Data[Product_Name],F23)</f>
        <v>24</v>
      </c>
      <c r="U23" s="9">
        <f>COUNTIF(Sales_Data[Customer_ID],C23)</f>
        <v>12</v>
      </c>
      <c r="V23" s="9" t="str">
        <f t="shared" si="4"/>
        <v>MC</v>
      </c>
    </row>
    <row r="24" spans="1:22" ht="15.75" customHeight="1" x14ac:dyDescent="0.3">
      <c r="A24" s="2" t="s">
        <v>92</v>
      </c>
      <c r="B24" s="3">
        <v>45410</v>
      </c>
      <c r="C24" s="2" t="s">
        <v>93</v>
      </c>
      <c r="D24" s="2" t="s">
        <v>94</v>
      </c>
      <c r="E24" s="2" t="s">
        <v>17</v>
      </c>
      <c r="F24" s="2" t="s">
        <v>18</v>
      </c>
      <c r="G24" s="2" t="s">
        <v>19</v>
      </c>
      <c r="H24" s="2">
        <v>3</v>
      </c>
      <c r="I24" s="4">
        <v>249.99</v>
      </c>
      <c r="J24" s="2" t="s">
        <v>26</v>
      </c>
      <c r="K24" s="2" t="s">
        <v>40</v>
      </c>
      <c r="L24" s="2" t="s">
        <v>27</v>
      </c>
      <c r="M24" s="3">
        <v>45224</v>
      </c>
      <c r="N24" s="4">
        <v>749.97</v>
      </c>
      <c r="O24" s="5">
        <f t="shared" ca="1" si="0"/>
        <v>46301.61373611111</v>
      </c>
      <c r="P24" s="6">
        <f t="shared" ca="1" si="1"/>
        <v>46302</v>
      </c>
      <c r="Q24" s="7">
        <f>DATEDIF(Sales_Data[[#This Row],[Customer_Since]],Sales_Data[[#This Row],[Date]],"d")</f>
        <v>186</v>
      </c>
      <c r="R24" s="8">
        <f t="shared" si="2"/>
        <v>45412</v>
      </c>
      <c r="S24" s="9" t="str">
        <f t="shared" si="3"/>
        <v>Apr-24</v>
      </c>
      <c r="T24" s="9">
        <f>COUNTIF(Sales_Data[Product_Name],F24)</f>
        <v>26</v>
      </c>
      <c r="U24" s="9">
        <f>COUNTIF(Sales_Data[Customer_ID],C24)</f>
        <v>6</v>
      </c>
      <c r="V24" s="9" t="str">
        <f t="shared" si="4"/>
        <v>VS</v>
      </c>
    </row>
    <row r="25" spans="1:22" ht="15.75" customHeight="1" x14ac:dyDescent="0.3">
      <c r="A25" s="2" t="s">
        <v>95</v>
      </c>
      <c r="B25" s="3">
        <v>45412</v>
      </c>
      <c r="C25" s="2" t="s">
        <v>96</v>
      </c>
      <c r="D25" s="2" t="s">
        <v>97</v>
      </c>
      <c r="E25" s="2" t="s">
        <v>80</v>
      </c>
      <c r="F25" s="2" t="s">
        <v>81</v>
      </c>
      <c r="G25" s="2" t="s">
        <v>19</v>
      </c>
      <c r="H25" s="2">
        <v>5</v>
      </c>
      <c r="I25" s="4">
        <v>699.99</v>
      </c>
      <c r="J25" s="2" t="s">
        <v>20</v>
      </c>
      <c r="K25" s="2" t="s">
        <v>50</v>
      </c>
      <c r="L25" s="2" t="s">
        <v>22</v>
      </c>
      <c r="M25" s="3">
        <v>45167</v>
      </c>
      <c r="N25" s="4">
        <v>3499.95</v>
      </c>
      <c r="O25" s="5">
        <f t="shared" ca="1" si="0"/>
        <v>46301.61373611111</v>
      </c>
      <c r="P25" s="6">
        <f t="shared" ca="1" si="1"/>
        <v>46302</v>
      </c>
      <c r="Q25" s="7">
        <f>DATEDIF(Sales_Data[[#This Row],[Customer_Since]],Sales_Data[[#This Row],[Date]],"d")</f>
        <v>245</v>
      </c>
      <c r="R25" s="8">
        <f t="shared" si="2"/>
        <v>45412</v>
      </c>
      <c r="S25" s="9" t="str">
        <f t="shared" si="3"/>
        <v>Apr-24</v>
      </c>
      <c r="T25" s="9">
        <f>COUNTIF(Sales_Data[Product_Name],F25)</f>
        <v>31</v>
      </c>
      <c r="U25" s="9">
        <f>COUNTIF(Sales_Data[Customer_ID],C25)</f>
        <v>5</v>
      </c>
      <c r="V25" s="9" t="str">
        <f t="shared" si="4"/>
        <v>BY</v>
      </c>
    </row>
    <row r="26" spans="1:22" ht="15.75" customHeight="1" x14ac:dyDescent="0.3">
      <c r="A26" s="2" t="s">
        <v>98</v>
      </c>
      <c r="B26" s="3">
        <v>45413</v>
      </c>
      <c r="C26" s="2" t="s">
        <v>99</v>
      </c>
      <c r="D26" s="2" t="s">
        <v>100</v>
      </c>
      <c r="E26" s="2" t="s">
        <v>80</v>
      </c>
      <c r="F26" s="2" t="s">
        <v>81</v>
      </c>
      <c r="G26" s="2" t="s">
        <v>19</v>
      </c>
      <c r="H26" s="2">
        <v>4</v>
      </c>
      <c r="I26" s="4">
        <v>699.99</v>
      </c>
      <c r="J26" s="2" t="s">
        <v>20</v>
      </c>
      <c r="K26" s="2" t="s">
        <v>63</v>
      </c>
      <c r="L26" s="2" t="s">
        <v>36</v>
      </c>
      <c r="M26" s="3">
        <v>44409</v>
      </c>
      <c r="N26" s="4">
        <v>2799.96</v>
      </c>
      <c r="O26" s="5">
        <f t="shared" ca="1" si="0"/>
        <v>46301.61373611111</v>
      </c>
      <c r="P26" s="6">
        <f t="shared" ca="1" si="1"/>
        <v>46302</v>
      </c>
      <c r="Q26" s="7">
        <f>DATEDIF(Sales_Data[[#This Row],[Customer_Since]],Sales_Data[[#This Row],[Date]],"d")</f>
        <v>1004</v>
      </c>
      <c r="R26" s="8">
        <f t="shared" si="2"/>
        <v>45443</v>
      </c>
      <c r="S26" s="9" t="str">
        <f t="shared" si="3"/>
        <v>May-24</v>
      </c>
      <c r="T26" s="9">
        <f>COUNTIF(Sales_Data[Product_Name],F26)</f>
        <v>31</v>
      </c>
      <c r="U26" s="9">
        <f>COUNTIF(Sales_Data[Customer_ID],C26)</f>
        <v>8</v>
      </c>
      <c r="V26" s="9" t="str">
        <f t="shared" si="4"/>
        <v>PM</v>
      </c>
    </row>
    <row r="27" spans="1:22" ht="15.75" customHeight="1" x14ac:dyDescent="0.3">
      <c r="A27" s="2" t="s">
        <v>101</v>
      </c>
      <c r="B27" s="3">
        <v>45415</v>
      </c>
      <c r="C27" s="2" t="s">
        <v>102</v>
      </c>
      <c r="D27" s="2" t="s">
        <v>103</v>
      </c>
      <c r="E27" s="2" t="s">
        <v>17</v>
      </c>
      <c r="F27" s="2" t="s">
        <v>18</v>
      </c>
      <c r="G27" s="2" t="s">
        <v>19</v>
      </c>
      <c r="H27" s="2">
        <v>4</v>
      </c>
      <c r="I27" s="4">
        <v>249.99</v>
      </c>
      <c r="J27" s="2" t="s">
        <v>34</v>
      </c>
      <c r="K27" s="2" t="s">
        <v>40</v>
      </c>
      <c r="L27" s="2" t="s">
        <v>36</v>
      </c>
      <c r="M27" s="3">
        <v>44468</v>
      </c>
      <c r="N27" s="4">
        <v>999.96</v>
      </c>
      <c r="O27" s="5">
        <f t="shared" ca="1" si="0"/>
        <v>46301.61373611111</v>
      </c>
      <c r="P27" s="6">
        <f t="shared" ca="1" si="1"/>
        <v>46302</v>
      </c>
      <c r="Q27" s="7">
        <f>DATEDIF(Sales_Data[[#This Row],[Customer_Since]],Sales_Data[[#This Row],[Date]],"d")</f>
        <v>947</v>
      </c>
      <c r="R27" s="8">
        <f t="shared" si="2"/>
        <v>45443</v>
      </c>
      <c r="S27" s="9" t="str">
        <f t="shared" si="3"/>
        <v>May-24</v>
      </c>
      <c r="T27" s="9">
        <f>COUNTIF(Sales_Data[Product_Name],F27)</f>
        <v>26</v>
      </c>
      <c r="U27" s="9">
        <f>COUNTIF(Sales_Data[Customer_ID],C27)</f>
        <v>5</v>
      </c>
      <c r="V27" s="9" t="str">
        <f t="shared" si="4"/>
        <v>CP</v>
      </c>
    </row>
    <row r="28" spans="1:22" ht="15.75" customHeight="1" x14ac:dyDescent="0.3">
      <c r="A28" s="2" t="s">
        <v>104</v>
      </c>
      <c r="B28" s="3">
        <v>45416</v>
      </c>
      <c r="C28" s="2" t="s">
        <v>86</v>
      </c>
      <c r="D28" s="2" t="s">
        <v>87</v>
      </c>
      <c r="E28" s="2" t="s">
        <v>105</v>
      </c>
      <c r="F28" s="2" t="s">
        <v>106</v>
      </c>
      <c r="G28" s="2" t="s">
        <v>46</v>
      </c>
      <c r="H28" s="2">
        <v>4</v>
      </c>
      <c r="I28" s="4">
        <v>299.99</v>
      </c>
      <c r="J28" s="2" t="s">
        <v>20</v>
      </c>
      <c r="K28" s="2" t="s">
        <v>50</v>
      </c>
      <c r="L28" s="2" t="s">
        <v>27</v>
      </c>
      <c r="M28" s="3">
        <v>44716</v>
      </c>
      <c r="N28" s="4">
        <v>1199.96</v>
      </c>
      <c r="O28" s="5">
        <f t="shared" ca="1" si="0"/>
        <v>46301.61373611111</v>
      </c>
      <c r="P28" s="6">
        <f t="shared" ca="1" si="1"/>
        <v>46302</v>
      </c>
      <c r="Q28" s="7">
        <f>DATEDIF(Sales_Data[[#This Row],[Customer_Since]],Sales_Data[[#This Row],[Date]],"d")</f>
        <v>700</v>
      </c>
      <c r="R28" s="8">
        <f t="shared" si="2"/>
        <v>45443</v>
      </c>
      <c r="S28" s="9" t="str">
        <f t="shared" si="3"/>
        <v>May-24</v>
      </c>
      <c r="T28" s="9">
        <f>COUNTIF(Sales_Data[Product_Name],F28)</f>
        <v>26</v>
      </c>
      <c r="U28" s="9">
        <f>COUNTIF(Sales_Data[Customer_ID],C28)</f>
        <v>12</v>
      </c>
      <c r="V28" s="9" t="str">
        <f t="shared" si="4"/>
        <v>MC</v>
      </c>
    </row>
    <row r="29" spans="1:22" ht="15.75" customHeight="1" x14ac:dyDescent="0.3">
      <c r="A29" s="2" t="s">
        <v>107</v>
      </c>
      <c r="B29" s="3">
        <v>45422</v>
      </c>
      <c r="C29" s="2" t="s">
        <v>108</v>
      </c>
      <c r="D29" s="2" t="s">
        <v>109</v>
      </c>
      <c r="E29" s="2" t="s">
        <v>17</v>
      </c>
      <c r="F29" s="2" t="s">
        <v>18</v>
      </c>
      <c r="G29" s="2" t="s">
        <v>19</v>
      </c>
      <c r="H29" s="2">
        <v>5</v>
      </c>
      <c r="I29" s="4">
        <v>249.99</v>
      </c>
      <c r="J29" s="2" t="s">
        <v>26</v>
      </c>
      <c r="K29" s="2" t="s">
        <v>50</v>
      </c>
      <c r="L29" s="2" t="s">
        <v>36</v>
      </c>
      <c r="M29" s="3">
        <v>44525</v>
      </c>
      <c r="N29" s="4">
        <v>1249.95</v>
      </c>
      <c r="O29" s="5">
        <f t="shared" ca="1" si="0"/>
        <v>46301.61373611111</v>
      </c>
      <c r="P29" s="6">
        <f t="shared" ca="1" si="1"/>
        <v>46302</v>
      </c>
      <c r="Q29" s="7">
        <f>DATEDIF(Sales_Data[[#This Row],[Customer_Since]],Sales_Data[[#This Row],[Date]],"d")</f>
        <v>897</v>
      </c>
      <c r="R29" s="8">
        <f t="shared" si="2"/>
        <v>45443</v>
      </c>
      <c r="S29" s="9" t="str">
        <f t="shared" si="3"/>
        <v>May-24</v>
      </c>
      <c r="T29" s="9">
        <f>COUNTIF(Sales_Data[Product_Name],F29)</f>
        <v>26</v>
      </c>
      <c r="U29" s="9">
        <f>COUNTIF(Sales_Data[Customer_ID],C29)</f>
        <v>6</v>
      </c>
      <c r="V29" s="9" t="str">
        <f t="shared" si="4"/>
        <v>NC</v>
      </c>
    </row>
    <row r="30" spans="1:22" ht="15.75" customHeight="1" x14ac:dyDescent="0.3">
      <c r="A30" s="2" t="s">
        <v>110</v>
      </c>
      <c r="B30" s="3">
        <v>45424</v>
      </c>
      <c r="C30" s="2" t="s">
        <v>68</v>
      </c>
      <c r="D30" s="2" t="s">
        <v>69</v>
      </c>
      <c r="E30" s="2" t="s">
        <v>105</v>
      </c>
      <c r="F30" s="2" t="s">
        <v>106</v>
      </c>
      <c r="G30" s="2" t="s">
        <v>46</v>
      </c>
      <c r="H30" s="2">
        <v>5</v>
      </c>
      <c r="I30" s="4">
        <v>299.99</v>
      </c>
      <c r="J30" s="2" t="s">
        <v>34</v>
      </c>
      <c r="K30" s="2" t="s">
        <v>63</v>
      </c>
      <c r="L30" s="2" t="s">
        <v>22</v>
      </c>
      <c r="M30" s="3">
        <v>45168</v>
      </c>
      <c r="N30" s="4">
        <v>1499.95</v>
      </c>
      <c r="O30" s="5">
        <f t="shared" ca="1" si="0"/>
        <v>46301.61373611111</v>
      </c>
      <c r="P30" s="6">
        <f t="shared" ca="1" si="1"/>
        <v>46302</v>
      </c>
      <c r="Q30" s="7">
        <f>DATEDIF(Sales_Data[[#This Row],[Customer_Since]],Sales_Data[[#This Row],[Date]],"d")</f>
        <v>256</v>
      </c>
      <c r="R30" s="8">
        <f t="shared" si="2"/>
        <v>45443</v>
      </c>
      <c r="S30" s="9" t="str">
        <f t="shared" si="3"/>
        <v>May-24</v>
      </c>
      <c r="T30" s="9">
        <f>COUNTIF(Sales_Data[Product_Name],F30)</f>
        <v>26</v>
      </c>
      <c r="U30" s="9">
        <f>COUNTIF(Sales_Data[Customer_ID],C30)</f>
        <v>4</v>
      </c>
      <c r="V30" s="9" t="str">
        <f t="shared" si="4"/>
        <v>SG</v>
      </c>
    </row>
    <row r="31" spans="1:22" ht="15.75" customHeight="1" x14ac:dyDescent="0.3">
      <c r="A31" s="2" t="s">
        <v>111</v>
      </c>
      <c r="B31" s="3">
        <v>45424</v>
      </c>
      <c r="C31" s="2" t="s">
        <v>112</v>
      </c>
      <c r="D31" s="2" t="s">
        <v>113</v>
      </c>
      <c r="E31" s="2" t="s">
        <v>114</v>
      </c>
      <c r="F31" s="2" t="s">
        <v>115</v>
      </c>
      <c r="G31" s="2" t="s">
        <v>33</v>
      </c>
      <c r="H31" s="2">
        <v>3</v>
      </c>
      <c r="I31" s="4">
        <v>79.989999999999995</v>
      </c>
      <c r="J31" s="2" t="s">
        <v>34</v>
      </c>
      <c r="K31" s="2" t="s">
        <v>63</v>
      </c>
      <c r="L31" s="2" t="s">
        <v>27</v>
      </c>
      <c r="M31" s="3">
        <v>45012</v>
      </c>
      <c r="N31" s="4">
        <v>239.97</v>
      </c>
      <c r="O31" s="5">
        <f t="shared" ca="1" si="0"/>
        <v>46301.61373611111</v>
      </c>
      <c r="P31" s="6">
        <f t="shared" ca="1" si="1"/>
        <v>46302</v>
      </c>
      <c r="Q31" s="7">
        <f>DATEDIF(Sales_Data[[#This Row],[Customer_Since]],Sales_Data[[#This Row],[Date]],"d")</f>
        <v>412</v>
      </c>
      <c r="R31" s="8">
        <f t="shared" si="2"/>
        <v>45443</v>
      </c>
      <c r="S31" s="9" t="str">
        <f t="shared" si="3"/>
        <v>May-24</v>
      </c>
      <c r="T31" s="9">
        <f>COUNTIF(Sales_Data[Product_Name],F31)</f>
        <v>14</v>
      </c>
      <c r="U31" s="9">
        <f>COUNTIF(Sales_Data[Customer_ID],C31)</f>
        <v>4</v>
      </c>
      <c r="V31" s="9" t="str">
        <f t="shared" si="4"/>
        <v>LM</v>
      </c>
    </row>
    <row r="32" spans="1:22" ht="15.75" customHeight="1" x14ac:dyDescent="0.3">
      <c r="A32" s="2" t="s">
        <v>116</v>
      </c>
      <c r="B32" s="3">
        <v>45424</v>
      </c>
      <c r="C32" s="2" t="s">
        <v>99</v>
      </c>
      <c r="D32" s="2" t="s">
        <v>100</v>
      </c>
      <c r="E32" s="2" t="s">
        <v>117</v>
      </c>
      <c r="F32" s="2" t="s">
        <v>118</v>
      </c>
      <c r="G32" s="2" t="s">
        <v>19</v>
      </c>
      <c r="H32" s="2">
        <v>5</v>
      </c>
      <c r="I32" s="4">
        <v>89.99</v>
      </c>
      <c r="J32" s="2" t="s">
        <v>20</v>
      </c>
      <c r="K32" s="2" t="s">
        <v>40</v>
      </c>
      <c r="L32" s="2" t="s">
        <v>27</v>
      </c>
      <c r="M32" s="3">
        <v>44919</v>
      </c>
      <c r="N32" s="4">
        <v>449.95</v>
      </c>
      <c r="O32" s="5">
        <f t="shared" ca="1" si="0"/>
        <v>46301.61373611111</v>
      </c>
      <c r="P32" s="6">
        <f t="shared" ca="1" si="1"/>
        <v>46302</v>
      </c>
      <c r="Q32" s="7">
        <f>DATEDIF(Sales_Data[[#This Row],[Customer_Since]],Sales_Data[[#This Row],[Date]],"d")</f>
        <v>505</v>
      </c>
      <c r="R32" s="8">
        <f t="shared" si="2"/>
        <v>45443</v>
      </c>
      <c r="S32" s="9" t="str">
        <f t="shared" si="3"/>
        <v>May-24</v>
      </c>
      <c r="T32" s="9">
        <f>COUNTIF(Sales_Data[Product_Name],F32)</f>
        <v>34</v>
      </c>
      <c r="U32" s="9">
        <f>COUNTIF(Sales_Data[Customer_ID],C32)</f>
        <v>8</v>
      </c>
      <c r="V32" s="9" t="str">
        <f t="shared" si="4"/>
        <v>PM</v>
      </c>
    </row>
    <row r="33" spans="1:22" ht="15.75" customHeight="1" x14ac:dyDescent="0.3">
      <c r="A33" s="2" t="s">
        <v>119</v>
      </c>
      <c r="B33" s="3">
        <v>45425</v>
      </c>
      <c r="C33" s="2" t="s">
        <v>120</v>
      </c>
      <c r="D33" s="2" t="s">
        <v>121</v>
      </c>
      <c r="E33" s="2" t="s">
        <v>31</v>
      </c>
      <c r="F33" s="2" t="s">
        <v>32</v>
      </c>
      <c r="G33" s="2" t="s">
        <v>33</v>
      </c>
      <c r="H33" s="2">
        <v>2</v>
      </c>
      <c r="I33" s="4">
        <v>59.99</v>
      </c>
      <c r="J33" s="2" t="s">
        <v>57</v>
      </c>
      <c r="K33" s="2" t="s">
        <v>21</v>
      </c>
      <c r="L33" s="2" t="s">
        <v>36</v>
      </c>
      <c r="M33" s="3">
        <v>45214</v>
      </c>
      <c r="N33" s="4">
        <v>119.98</v>
      </c>
      <c r="O33" s="5">
        <f t="shared" ca="1" si="0"/>
        <v>46301.61373611111</v>
      </c>
      <c r="P33" s="6">
        <f t="shared" ca="1" si="1"/>
        <v>46302</v>
      </c>
      <c r="Q33" s="7">
        <f>DATEDIF(Sales_Data[[#This Row],[Customer_Since]],Sales_Data[[#This Row],[Date]],"d")</f>
        <v>211</v>
      </c>
      <c r="R33" s="8">
        <f t="shared" si="2"/>
        <v>45443</v>
      </c>
      <c r="S33" s="9" t="str">
        <f t="shared" si="3"/>
        <v>May-24</v>
      </c>
      <c r="T33" s="9">
        <f>COUNTIF(Sales_Data[Product_Name],F33)</f>
        <v>29</v>
      </c>
      <c r="U33" s="9">
        <f>COUNTIF(Sales_Data[Customer_ID],C33)</f>
        <v>7</v>
      </c>
      <c r="V33" s="9" t="str">
        <f t="shared" si="4"/>
        <v>HR</v>
      </c>
    </row>
    <row r="34" spans="1:22" ht="15.75" customHeight="1" x14ac:dyDescent="0.3">
      <c r="A34" s="2" t="s">
        <v>122</v>
      </c>
      <c r="B34" s="3">
        <v>45427</v>
      </c>
      <c r="C34" s="2" t="s">
        <v>123</v>
      </c>
      <c r="D34" s="2" t="s">
        <v>124</v>
      </c>
      <c r="E34" s="2" t="s">
        <v>31</v>
      </c>
      <c r="F34" s="2" t="s">
        <v>32</v>
      </c>
      <c r="G34" s="2" t="s">
        <v>33</v>
      </c>
      <c r="H34" s="2">
        <v>4</v>
      </c>
      <c r="I34" s="4">
        <v>59.99</v>
      </c>
      <c r="J34" s="2" t="s">
        <v>57</v>
      </c>
      <c r="K34" s="2" t="s">
        <v>63</v>
      </c>
      <c r="L34" s="2" t="s">
        <v>36</v>
      </c>
      <c r="M34" s="3">
        <v>44867</v>
      </c>
      <c r="N34" s="4">
        <v>239.96</v>
      </c>
      <c r="O34" s="5">
        <f t="shared" ca="1" si="0"/>
        <v>46301.61373611111</v>
      </c>
      <c r="P34" s="6">
        <f t="shared" ca="1" si="1"/>
        <v>46302</v>
      </c>
      <c r="Q34" s="7">
        <f>DATEDIF(Sales_Data[[#This Row],[Customer_Since]],Sales_Data[[#This Row],[Date]],"d")</f>
        <v>560</v>
      </c>
      <c r="R34" s="8">
        <f t="shared" si="2"/>
        <v>45443</v>
      </c>
      <c r="S34" s="9" t="str">
        <f t="shared" si="3"/>
        <v>May-24</v>
      </c>
      <c r="T34" s="9">
        <f>COUNTIF(Sales_Data[Product_Name],F34)</f>
        <v>29</v>
      </c>
      <c r="U34" s="9">
        <f>COUNTIF(Sales_Data[Customer_ID],C34)</f>
        <v>6</v>
      </c>
      <c r="V34" s="9" t="str">
        <f t="shared" si="4"/>
        <v>EM</v>
      </c>
    </row>
    <row r="35" spans="1:22" ht="15.75" customHeight="1" x14ac:dyDescent="0.3">
      <c r="A35" s="2" t="s">
        <v>125</v>
      </c>
      <c r="B35" s="3">
        <v>45427</v>
      </c>
      <c r="C35" s="2" t="s">
        <v>55</v>
      </c>
      <c r="D35" s="2" t="s">
        <v>56</v>
      </c>
      <c r="E35" s="2" t="s">
        <v>126</v>
      </c>
      <c r="F35" s="2" t="s">
        <v>127</v>
      </c>
      <c r="G35" s="2" t="s">
        <v>46</v>
      </c>
      <c r="H35" s="2">
        <v>5</v>
      </c>
      <c r="I35" s="4">
        <v>199.99</v>
      </c>
      <c r="J35" s="2" t="s">
        <v>20</v>
      </c>
      <c r="K35" s="2" t="s">
        <v>35</v>
      </c>
      <c r="L35" s="2" t="s">
        <v>36</v>
      </c>
      <c r="M35" s="3">
        <v>44412</v>
      </c>
      <c r="N35" s="4">
        <v>999.95</v>
      </c>
      <c r="O35" s="5">
        <f t="shared" ca="1" si="0"/>
        <v>46301.61373611111</v>
      </c>
      <c r="P35" s="6">
        <f t="shared" ca="1" si="1"/>
        <v>46302</v>
      </c>
      <c r="Q35" s="7">
        <f>DATEDIF(Sales_Data[[#This Row],[Customer_Since]],Sales_Data[[#This Row],[Date]],"d")</f>
        <v>1015</v>
      </c>
      <c r="R35" s="8">
        <f t="shared" si="2"/>
        <v>45443</v>
      </c>
      <c r="S35" s="9" t="str">
        <f t="shared" si="3"/>
        <v>May-24</v>
      </c>
      <c r="T35" s="9">
        <f>COUNTIF(Sales_Data[Product_Name],F35)</f>
        <v>15</v>
      </c>
      <c r="U35" s="9">
        <f>COUNTIF(Sales_Data[Customer_ID],C35)</f>
        <v>9</v>
      </c>
      <c r="V35" s="9" t="str">
        <f t="shared" si="4"/>
        <v>CA</v>
      </c>
    </row>
    <row r="36" spans="1:22" ht="15.75" customHeight="1" x14ac:dyDescent="0.3">
      <c r="A36" s="2" t="s">
        <v>128</v>
      </c>
      <c r="B36" s="3">
        <v>45428</v>
      </c>
      <c r="C36" s="2" t="s">
        <v>129</v>
      </c>
      <c r="D36" s="2" t="s">
        <v>130</v>
      </c>
      <c r="E36" s="2" t="s">
        <v>44</v>
      </c>
      <c r="F36" s="2" t="s">
        <v>45</v>
      </c>
      <c r="G36" s="2" t="s">
        <v>46</v>
      </c>
      <c r="H36" s="2">
        <v>2</v>
      </c>
      <c r="I36" s="4">
        <v>149.99</v>
      </c>
      <c r="J36" s="2" t="s">
        <v>26</v>
      </c>
      <c r="K36" s="2" t="s">
        <v>50</v>
      </c>
      <c r="L36" s="2" t="s">
        <v>22</v>
      </c>
      <c r="M36" s="3">
        <v>44823</v>
      </c>
      <c r="N36" s="4">
        <v>299.98</v>
      </c>
      <c r="O36" s="5">
        <f t="shared" ca="1" si="0"/>
        <v>46301.61373611111</v>
      </c>
      <c r="P36" s="6">
        <f t="shared" ca="1" si="1"/>
        <v>46302</v>
      </c>
      <c r="Q36" s="7">
        <f>DATEDIF(Sales_Data[[#This Row],[Customer_Since]],Sales_Data[[#This Row],[Date]],"d")</f>
        <v>605</v>
      </c>
      <c r="R36" s="8">
        <f t="shared" si="2"/>
        <v>45443</v>
      </c>
      <c r="S36" s="9" t="str">
        <f t="shared" si="3"/>
        <v>May-24</v>
      </c>
      <c r="T36" s="9">
        <f>COUNTIF(Sales_Data[Product_Name],F36)</f>
        <v>35</v>
      </c>
      <c r="U36" s="9">
        <f>COUNTIF(Sales_Data[Customer_ID],C36)</f>
        <v>5</v>
      </c>
      <c r="V36" s="9" t="str">
        <f t="shared" si="4"/>
        <v>LA</v>
      </c>
    </row>
    <row r="37" spans="1:22" ht="15.75" customHeight="1" x14ac:dyDescent="0.3">
      <c r="A37" s="2" t="s">
        <v>131</v>
      </c>
      <c r="B37" s="3">
        <v>45430</v>
      </c>
      <c r="C37" s="2" t="s">
        <v>132</v>
      </c>
      <c r="D37" s="2" t="s">
        <v>133</v>
      </c>
      <c r="E37" s="2" t="s">
        <v>44</v>
      </c>
      <c r="F37" s="2" t="s">
        <v>45</v>
      </c>
      <c r="G37" s="2" t="s">
        <v>46</v>
      </c>
      <c r="H37" s="2">
        <v>3</v>
      </c>
      <c r="I37" s="4">
        <v>149.99</v>
      </c>
      <c r="J37" s="2" t="s">
        <v>26</v>
      </c>
      <c r="K37" s="2" t="s">
        <v>50</v>
      </c>
      <c r="L37" s="2" t="s">
        <v>27</v>
      </c>
      <c r="M37" s="3">
        <v>45068</v>
      </c>
      <c r="N37" s="4">
        <v>449.97</v>
      </c>
      <c r="O37" s="5">
        <f t="shared" ca="1" si="0"/>
        <v>46301.61373611111</v>
      </c>
      <c r="P37" s="6">
        <f t="shared" ca="1" si="1"/>
        <v>46302</v>
      </c>
      <c r="Q37" s="7">
        <f>DATEDIF(Sales_Data[[#This Row],[Customer_Since]],Sales_Data[[#This Row],[Date]],"d")</f>
        <v>362</v>
      </c>
      <c r="R37" s="8">
        <f t="shared" si="2"/>
        <v>45443</v>
      </c>
      <c r="S37" s="9" t="str">
        <f t="shared" si="3"/>
        <v>May-24</v>
      </c>
      <c r="T37" s="9">
        <f>COUNTIF(Sales_Data[Product_Name],F37)</f>
        <v>35</v>
      </c>
      <c r="U37" s="9">
        <f>COUNTIF(Sales_Data[Customer_ID],C37)</f>
        <v>5</v>
      </c>
      <c r="V37" s="9" t="str">
        <f t="shared" si="4"/>
        <v>EW</v>
      </c>
    </row>
    <row r="38" spans="1:22" ht="15.75" customHeight="1" x14ac:dyDescent="0.3">
      <c r="A38" s="2" t="s">
        <v>134</v>
      </c>
      <c r="B38" s="3">
        <v>45432</v>
      </c>
      <c r="C38" s="2" t="s">
        <v>29</v>
      </c>
      <c r="D38" s="2" t="s">
        <v>30</v>
      </c>
      <c r="E38" s="2" t="s">
        <v>61</v>
      </c>
      <c r="F38" s="2" t="s">
        <v>62</v>
      </c>
      <c r="G38" s="2" t="s">
        <v>19</v>
      </c>
      <c r="H38" s="2">
        <v>1</v>
      </c>
      <c r="I38" s="4">
        <v>899.99</v>
      </c>
      <c r="J38" s="2" t="s">
        <v>26</v>
      </c>
      <c r="K38" s="2" t="s">
        <v>50</v>
      </c>
      <c r="L38" s="2" t="s">
        <v>27</v>
      </c>
      <c r="M38" s="3">
        <v>44578</v>
      </c>
      <c r="N38" s="4">
        <v>899.99</v>
      </c>
      <c r="O38" s="5">
        <f t="shared" ca="1" si="0"/>
        <v>46301.61373611111</v>
      </c>
      <c r="P38" s="6">
        <f t="shared" ca="1" si="1"/>
        <v>46302</v>
      </c>
      <c r="Q38" s="7">
        <f>DATEDIF(Sales_Data[[#This Row],[Customer_Since]],Sales_Data[[#This Row],[Date]],"d")</f>
        <v>854</v>
      </c>
      <c r="R38" s="8">
        <f t="shared" si="2"/>
        <v>45443</v>
      </c>
      <c r="S38" s="9" t="str">
        <f t="shared" si="3"/>
        <v>May-24</v>
      </c>
      <c r="T38" s="9">
        <f>COUNTIF(Sales_Data[Product_Name],F38)</f>
        <v>24</v>
      </c>
      <c r="U38" s="9">
        <f>COUNTIF(Sales_Data[Customer_ID],C38)</f>
        <v>6</v>
      </c>
      <c r="V38" s="9" t="str">
        <f t="shared" si="4"/>
        <v>KS</v>
      </c>
    </row>
    <row r="39" spans="1:22" ht="15.75" customHeight="1" x14ac:dyDescent="0.3">
      <c r="A39" s="2" t="s">
        <v>135</v>
      </c>
      <c r="B39" s="3">
        <v>45434</v>
      </c>
      <c r="C39" s="2" t="s">
        <v>99</v>
      </c>
      <c r="D39" s="2" t="s">
        <v>100</v>
      </c>
      <c r="E39" s="2" t="s">
        <v>105</v>
      </c>
      <c r="F39" s="2" t="s">
        <v>106</v>
      </c>
      <c r="G39" s="2" t="s">
        <v>46</v>
      </c>
      <c r="H39" s="2">
        <v>3</v>
      </c>
      <c r="I39" s="4">
        <v>299.99</v>
      </c>
      <c r="J39" s="2" t="s">
        <v>26</v>
      </c>
      <c r="K39" s="2" t="s">
        <v>63</v>
      </c>
      <c r="L39" s="2" t="s">
        <v>22</v>
      </c>
      <c r="M39" s="3">
        <v>44824</v>
      </c>
      <c r="N39" s="4">
        <v>899.97</v>
      </c>
      <c r="O39" s="5">
        <f t="shared" ca="1" si="0"/>
        <v>46301.61373611111</v>
      </c>
      <c r="P39" s="6">
        <f t="shared" ca="1" si="1"/>
        <v>46302</v>
      </c>
      <c r="Q39" s="7">
        <f>DATEDIF(Sales_Data[[#This Row],[Customer_Since]],Sales_Data[[#This Row],[Date]],"d")</f>
        <v>610</v>
      </c>
      <c r="R39" s="8">
        <f t="shared" si="2"/>
        <v>45443</v>
      </c>
      <c r="S39" s="9" t="str">
        <f t="shared" si="3"/>
        <v>May-24</v>
      </c>
      <c r="T39" s="9">
        <f>COUNTIF(Sales_Data[Product_Name],F39)</f>
        <v>26</v>
      </c>
      <c r="U39" s="9">
        <f>COUNTIF(Sales_Data[Customer_ID],C39)</f>
        <v>8</v>
      </c>
      <c r="V39" s="9" t="str">
        <f t="shared" si="4"/>
        <v>PM</v>
      </c>
    </row>
    <row r="40" spans="1:22" ht="15.75" customHeight="1" x14ac:dyDescent="0.3">
      <c r="A40" s="2" t="s">
        <v>136</v>
      </c>
      <c r="B40" s="3">
        <v>45435</v>
      </c>
      <c r="C40" s="2" t="s">
        <v>129</v>
      </c>
      <c r="D40" s="2" t="s">
        <v>130</v>
      </c>
      <c r="E40" s="2" t="s">
        <v>114</v>
      </c>
      <c r="F40" s="2" t="s">
        <v>115</v>
      </c>
      <c r="G40" s="2" t="s">
        <v>33</v>
      </c>
      <c r="H40" s="2">
        <v>3</v>
      </c>
      <c r="I40" s="4">
        <v>79.989999999999995</v>
      </c>
      <c r="J40" s="2" t="s">
        <v>20</v>
      </c>
      <c r="K40" s="2" t="s">
        <v>35</v>
      </c>
      <c r="L40" s="2" t="s">
        <v>22</v>
      </c>
      <c r="M40" s="3">
        <v>45046</v>
      </c>
      <c r="N40" s="4">
        <v>239.97</v>
      </c>
      <c r="O40" s="5">
        <f t="shared" ca="1" si="0"/>
        <v>46301.61373611111</v>
      </c>
      <c r="P40" s="6">
        <f t="shared" ca="1" si="1"/>
        <v>46302</v>
      </c>
      <c r="Q40" s="7">
        <f>DATEDIF(Sales_Data[[#This Row],[Customer_Since]],Sales_Data[[#This Row],[Date]],"d")</f>
        <v>389</v>
      </c>
      <c r="R40" s="8">
        <f t="shared" si="2"/>
        <v>45443</v>
      </c>
      <c r="S40" s="9" t="str">
        <f t="shared" si="3"/>
        <v>May-24</v>
      </c>
      <c r="T40" s="9">
        <f>COUNTIF(Sales_Data[Product_Name],F40)</f>
        <v>14</v>
      </c>
      <c r="U40" s="9">
        <f>COUNTIF(Sales_Data[Customer_ID],C40)</f>
        <v>5</v>
      </c>
      <c r="V40" s="9" t="str">
        <f t="shared" si="4"/>
        <v>LA</v>
      </c>
    </row>
    <row r="41" spans="1:22" ht="15.75" customHeight="1" x14ac:dyDescent="0.3">
      <c r="A41" s="2" t="s">
        <v>137</v>
      </c>
      <c r="B41" s="3">
        <v>45438</v>
      </c>
      <c r="C41" s="2" t="s">
        <v>138</v>
      </c>
      <c r="D41" s="2" t="s">
        <v>139</v>
      </c>
      <c r="E41" s="2" t="s">
        <v>126</v>
      </c>
      <c r="F41" s="2" t="s">
        <v>127</v>
      </c>
      <c r="G41" s="2" t="s">
        <v>46</v>
      </c>
      <c r="H41" s="2">
        <v>3</v>
      </c>
      <c r="I41" s="4">
        <v>199.99</v>
      </c>
      <c r="J41" s="2" t="s">
        <v>26</v>
      </c>
      <c r="K41" s="2" t="s">
        <v>40</v>
      </c>
      <c r="L41" s="2" t="s">
        <v>27</v>
      </c>
      <c r="M41" s="3">
        <v>45292</v>
      </c>
      <c r="N41" s="4">
        <v>599.97</v>
      </c>
      <c r="O41" s="5">
        <f t="shared" ca="1" si="0"/>
        <v>46301.61373611111</v>
      </c>
      <c r="P41" s="6">
        <f t="shared" ca="1" si="1"/>
        <v>46302</v>
      </c>
      <c r="Q41" s="7">
        <f>DATEDIF(Sales_Data[[#This Row],[Customer_Since]],Sales_Data[[#This Row],[Date]],"d")</f>
        <v>146</v>
      </c>
      <c r="R41" s="8">
        <f t="shared" si="2"/>
        <v>45443</v>
      </c>
      <c r="S41" s="9" t="str">
        <f t="shared" si="3"/>
        <v>May-24</v>
      </c>
      <c r="T41" s="9">
        <f>COUNTIF(Sales_Data[Product_Name],F41)</f>
        <v>15</v>
      </c>
      <c r="U41" s="9">
        <f>COUNTIF(Sales_Data[Customer_ID],C41)</f>
        <v>6</v>
      </c>
      <c r="V41" s="9" t="str">
        <f t="shared" si="4"/>
        <v>ST</v>
      </c>
    </row>
    <row r="42" spans="1:22" ht="15.75" customHeight="1" x14ac:dyDescent="0.3">
      <c r="A42" s="2" t="s">
        <v>140</v>
      </c>
      <c r="B42" s="3">
        <v>45440</v>
      </c>
      <c r="C42" s="2" t="s">
        <v>141</v>
      </c>
      <c r="D42" s="2" t="s">
        <v>142</v>
      </c>
      <c r="E42" s="2" t="s">
        <v>80</v>
      </c>
      <c r="F42" s="2" t="s">
        <v>81</v>
      </c>
      <c r="G42" s="2" t="s">
        <v>19</v>
      </c>
      <c r="H42" s="2">
        <v>5</v>
      </c>
      <c r="I42" s="4">
        <v>699.99</v>
      </c>
      <c r="J42" s="2" t="s">
        <v>34</v>
      </c>
      <c r="K42" s="2" t="s">
        <v>50</v>
      </c>
      <c r="L42" s="2" t="s">
        <v>36</v>
      </c>
      <c r="M42" s="3">
        <v>44407</v>
      </c>
      <c r="N42" s="4">
        <v>3499.95</v>
      </c>
      <c r="O42" s="5">
        <f t="shared" ca="1" si="0"/>
        <v>46301.61373611111</v>
      </c>
      <c r="P42" s="6">
        <f t="shared" ca="1" si="1"/>
        <v>46302</v>
      </c>
      <c r="Q42" s="7">
        <f>DATEDIF(Sales_Data[[#This Row],[Customer_Since]],Sales_Data[[#This Row],[Date]],"d")</f>
        <v>1033</v>
      </c>
      <c r="R42" s="8">
        <f t="shared" si="2"/>
        <v>45443</v>
      </c>
      <c r="S42" s="9" t="str">
        <f t="shared" si="3"/>
        <v>May-24</v>
      </c>
      <c r="T42" s="9">
        <f>COUNTIF(Sales_Data[Product_Name],F42)</f>
        <v>31</v>
      </c>
      <c r="U42" s="9">
        <f>COUNTIF(Sales_Data[Customer_ID],C42)</f>
        <v>4</v>
      </c>
      <c r="V42" s="9" t="str">
        <f t="shared" si="4"/>
        <v>JT</v>
      </c>
    </row>
    <row r="43" spans="1:22" ht="15.75" customHeight="1" x14ac:dyDescent="0.3">
      <c r="A43" s="2" t="s">
        <v>143</v>
      </c>
      <c r="B43" s="3">
        <v>45441</v>
      </c>
      <c r="C43" s="2" t="s">
        <v>144</v>
      </c>
      <c r="D43" s="2" t="s">
        <v>145</v>
      </c>
      <c r="E43" s="2" t="s">
        <v>117</v>
      </c>
      <c r="F43" s="2" t="s">
        <v>118</v>
      </c>
      <c r="G43" s="2" t="s">
        <v>19</v>
      </c>
      <c r="H43" s="2">
        <v>3</v>
      </c>
      <c r="I43" s="4">
        <v>89.99</v>
      </c>
      <c r="J43" s="2" t="s">
        <v>34</v>
      </c>
      <c r="K43" s="2" t="s">
        <v>21</v>
      </c>
      <c r="L43" s="2" t="s">
        <v>27</v>
      </c>
      <c r="M43" s="3">
        <v>45120</v>
      </c>
      <c r="N43" s="4">
        <v>269.97000000000003</v>
      </c>
      <c r="O43" s="5">
        <f t="shared" ca="1" si="0"/>
        <v>46301.61373611111</v>
      </c>
      <c r="P43" s="6">
        <f t="shared" ca="1" si="1"/>
        <v>46302</v>
      </c>
      <c r="Q43" s="7">
        <f>DATEDIF(Sales_Data[[#This Row],[Customer_Since]],Sales_Data[[#This Row],[Date]],"d")</f>
        <v>321</v>
      </c>
      <c r="R43" s="8">
        <f t="shared" si="2"/>
        <v>45443</v>
      </c>
      <c r="S43" s="9" t="str">
        <f t="shared" si="3"/>
        <v>May-24</v>
      </c>
      <c r="T43" s="9">
        <f>COUNTIF(Sales_Data[Product_Name],F43)</f>
        <v>34</v>
      </c>
      <c r="U43" s="9">
        <f>COUNTIF(Sales_Data[Customer_ID],C43)</f>
        <v>4</v>
      </c>
      <c r="V43" s="9" t="str">
        <f t="shared" si="4"/>
        <v>HM</v>
      </c>
    </row>
    <row r="44" spans="1:22" ht="15.75" customHeight="1" x14ac:dyDescent="0.3">
      <c r="A44" s="2" t="s">
        <v>146</v>
      </c>
      <c r="B44" s="3">
        <v>45443</v>
      </c>
      <c r="C44" s="2" t="s">
        <v>147</v>
      </c>
      <c r="D44" s="2" t="s">
        <v>148</v>
      </c>
      <c r="E44" s="2" t="s">
        <v>114</v>
      </c>
      <c r="F44" s="2" t="s">
        <v>115</v>
      </c>
      <c r="G44" s="2" t="s">
        <v>33</v>
      </c>
      <c r="H44" s="2">
        <v>1</v>
      </c>
      <c r="I44" s="4">
        <v>79.989999999999995</v>
      </c>
      <c r="J44" s="2" t="s">
        <v>20</v>
      </c>
      <c r="K44" s="2" t="s">
        <v>40</v>
      </c>
      <c r="L44" s="2" t="s">
        <v>36</v>
      </c>
      <c r="M44" s="3">
        <v>44917</v>
      </c>
      <c r="N44" s="4">
        <v>79.989999999999995</v>
      </c>
      <c r="O44" s="5">
        <f t="shared" ca="1" si="0"/>
        <v>46301.61373611111</v>
      </c>
      <c r="P44" s="6">
        <f t="shared" ca="1" si="1"/>
        <v>46302</v>
      </c>
      <c r="Q44" s="7">
        <f>DATEDIF(Sales_Data[[#This Row],[Customer_Since]],Sales_Data[[#This Row],[Date]],"d")</f>
        <v>526</v>
      </c>
      <c r="R44" s="8">
        <f t="shared" si="2"/>
        <v>45443</v>
      </c>
      <c r="S44" s="9" t="str">
        <f t="shared" si="3"/>
        <v>May-24</v>
      </c>
      <c r="T44" s="9">
        <f>COUNTIF(Sales_Data[Product_Name],F44)</f>
        <v>14</v>
      </c>
      <c r="U44" s="9">
        <f>COUNTIF(Sales_Data[Customer_ID],C44)</f>
        <v>7</v>
      </c>
      <c r="V44" s="9" t="str">
        <f t="shared" si="4"/>
        <v>DK</v>
      </c>
    </row>
    <row r="45" spans="1:22" ht="15.75" customHeight="1" x14ac:dyDescent="0.3">
      <c r="A45" s="2" t="s">
        <v>149</v>
      </c>
      <c r="B45" s="3">
        <v>45444</v>
      </c>
      <c r="C45" s="2" t="s">
        <v>150</v>
      </c>
      <c r="D45" s="2" t="s">
        <v>151</v>
      </c>
      <c r="E45" s="2" t="s">
        <v>31</v>
      </c>
      <c r="F45" s="2" t="s">
        <v>32</v>
      </c>
      <c r="G45" s="2" t="s">
        <v>33</v>
      </c>
      <c r="H45" s="2">
        <v>2</v>
      </c>
      <c r="I45" s="4">
        <v>59.99</v>
      </c>
      <c r="J45" s="2" t="s">
        <v>20</v>
      </c>
      <c r="K45" s="2" t="s">
        <v>50</v>
      </c>
      <c r="L45" s="2" t="s">
        <v>22</v>
      </c>
      <c r="M45" s="3">
        <v>45390</v>
      </c>
      <c r="N45" s="4">
        <v>119.98</v>
      </c>
      <c r="O45" s="5">
        <f t="shared" ca="1" si="0"/>
        <v>46301.61373611111</v>
      </c>
      <c r="P45" s="6">
        <f t="shared" ca="1" si="1"/>
        <v>46302</v>
      </c>
      <c r="Q45" s="7">
        <f>DATEDIF(Sales_Data[[#This Row],[Customer_Since]],Sales_Data[[#This Row],[Date]],"d")</f>
        <v>54</v>
      </c>
      <c r="R45" s="8">
        <f t="shared" si="2"/>
        <v>45473</v>
      </c>
      <c r="S45" s="9" t="str">
        <f t="shared" si="3"/>
        <v>Jun-24</v>
      </c>
      <c r="T45" s="9">
        <f>COUNTIF(Sales_Data[Product_Name],F45)</f>
        <v>29</v>
      </c>
      <c r="U45" s="9">
        <f>COUNTIF(Sales_Data[Customer_ID],C45)</f>
        <v>6</v>
      </c>
      <c r="V45" s="9" t="str">
        <f t="shared" si="4"/>
        <v>SB</v>
      </c>
    </row>
    <row r="46" spans="1:22" ht="15.75" customHeight="1" x14ac:dyDescent="0.3">
      <c r="A46" s="2" t="s">
        <v>152</v>
      </c>
      <c r="B46" s="3">
        <v>45444</v>
      </c>
      <c r="C46" s="2" t="s">
        <v>55</v>
      </c>
      <c r="D46" s="2" t="s">
        <v>56</v>
      </c>
      <c r="E46" s="2" t="s">
        <v>117</v>
      </c>
      <c r="F46" s="2" t="s">
        <v>118</v>
      </c>
      <c r="G46" s="2" t="s">
        <v>19</v>
      </c>
      <c r="H46" s="2">
        <v>1</v>
      </c>
      <c r="I46" s="4">
        <v>89.99</v>
      </c>
      <c r="J46" s="2" t="s">
        <v>20</v>
      </c>
      <c r="K46" s="2" t="s">
        <v>40</v>
      </c>
      <c r="L46" s="2" t="s">
        <v>22</v>
      </c>
      <c r="M46" s="3">
        <v>45141</v>
      </c>
      <c r="N46" s="4">
        <v>89.99</v>
      </c>
      <c r="O46" s="5">
        <f t="shared" ca="1" si="0"/>
        <v>46301.61373611111</v>
      </c>
      <c r="P46" s="6">
        <f t="shared" ca="1" si="1"/>
        <v>46302</v>
      </c>
      <c r="Q46" s="7">
        <f>DATEDIF(Sales_Data[[#This Row],[Customer_Since]],Sales_Data[[#This Row],[Date]],"d")</f>
        <v>303</v>
      </c>
      <c r="R46" s="8">
        <f t="shared" si="2"/>
        <v>45473</v>
      </c>
      <c r="S46" s="9" t="str">
        <f t="shared" si="3"/>
        <v>Jun-24</v>
      </c>
      <c r="T46" s="9">
        <f>COUNTIF(Sales_Data[Product_Name],F46)</f>
        <v>34</v>
      </c>
      <c r="U46" s="9">
        <f>COUNTIF(Sales_Data[Customer_ID],C46)</f>
        <v>9</v>
      </c>
      <c r="V46" s="9" t="str">
        <f t="shared" si="4"/>
        <v>CA</v>
      </c>
    </row>
    <row r="47" spans="1:22" ht="15.75" customHeight="1" x14ac:dyDescent="0.3">
      <c r="A47" s="2" t="s">
        <v>153</v>
      </c>
      <c r="B47" s="3">
        <v>45446</v>
      </c>
      <c r="C47" s="2" t="s">
        <v>154</v>
      </c>
      <c r="D47" s="2" t="s">
        <v>155</v>
      </c>
      <c r="E47" s="2" t="s">
        <v>117</v>
      </c>
      <c r="F47" s="2" t="s">
        <v>118</v>
      </c>
      <c r="G47" s="2" t="s">
        <v>19</v>
      </c>
      <c r="H47" s="2">
        <v>5</v>
      </c>
      <c r="I47" s="4">
        <v>89.99</v>
      </c>
      <c r="J47" s="2" t="s">
        <v>26</v>
      </c>
      <c r="K47" s="2" t="s">
        <v>63</v>
      </c>
      <c r="L47" s="2" t="s">
        <v>36</v>
      </c>
      <c r="M47" s="3">
        <v>44587</v>
      </c>
      <c r="N47" s="4">
        <v>449.95</v>
      </c>
      <c r="O47" s="5">
        <f t="shared" ca="1" si="0"/>
        <v>46301.61373611111</v>
      </c>
      <c r="P47" s="6">
        <f t="shared" ca="1" si="1"/>
        <v>46302</v>
      </c>
      <c r="Q47" s="7">
        <f>DATEDIF(Sales_Data[[#This Row],[Customer_Since]],Sales_Data[[#This Row],[Date]],"d")</f>
        <v>859</v>
      </c>
      <c r="R47" s="8">
        <f t="shared" si="2"/>
        <v>45473</v>
      </c>
      <c r="S47" s="9" t="str">
        <f t="shared" si="3"/>
        <v>Jun-24</v>
      </c>
      <c r="T47" s="9">
        <f>COUNTIF(Sales_Data[Product_Name],F47)</f>
        <v>34</v>
      </c>
      <c r="U47" s="9">
        <f>COUNTIF(Sales_Data[Customer_ID],C47)</f>
        <v>5</v>
      </c>
      <c r="V47" s="9" t="str">
        <f t="shared" si="4"/>
        <v>SD</v>
      </c>
    </row>
    <row r="48" spans="1:22" ht="15.75" customHeight="1" x14ac:dyDescent="0.3">
      <c r="A48" s="2" t="s">
        <v>156</v>
      </c>
      <c r="B48" s="3">
        <v>45449</v>
      </c>
      <c r="C48" s="2" t="s">
        <v>24</v>
      </c>
      <c r="D48" s="2" t="s">
        <v>25</v>
      </c>
      <c r="E48" s="2" t="s">
        <v>17</v>
      </c>
      <c r="F48" s="2" t="s">
        <v>18</v>
      </c>
      <c r="G48" s="2" t="s">
        <v>19</v>
      </c>
      <c r="H48" s="2">
        <v>5</v>
      </c>
      <c r="I48" s="4">
        <v>249.99</v>
      </c>
      <c r="J48" s="2" t="s">
        <v>26</v>
      </c>
      <c r="K48" s="2" t="s">
        <v>63</v>
      </c>
      <c r="L48" s="2" t="s">
        <v>36</v>
      </c>
      <c r="M48" s="3">
        <v>44707</v>
      </c>
      <c r="N48" s="4">
        <v>1249.95</v>
      </c>
      <c r="O48" s="5">
        <f t="shared" ca="1" si="0"/>
        <v>46301.61373611111</v>
      </c>
      <c r="P48" s="6">
        <f t="shared" ca="1" si="1"/>
        <v>46302</v>
      </c>
      <c r="Q48" s="7">
        <f>DATEDIF(Sales_Data[[#This Row],[Customer_Since]],Sales_Data[[#This Row],[Date]],"d")</f>
        <v>742</v>
      </c>
      <c r="R48" s="8">
        <f t="shared" si="2"/>
        <v>45473</v>
      </c>
      <c r="S48" s="9" t="str">
        <f t="shared" si="3"/>
        <v>Jun-24</v>
      </c>
      <c r="T48" s="9">
        <f>COUNTIF(Sales_Data[Product_Name],F48)</f>
        <v>26</v>
      </c>
      <c r="U48" s="9">
        <f>COUNTIF(Sales_Data[Customer_ID],C48)</f>
        <v>5</v>
      </c>
      <c r="V48" s="9" t="str">
        <f t="shared" si="4"/>
        <v>JJ</v>
      </c>
    </row>
    <row r="49" spans="1:22" ht="15.75" customHeight="1" x14ac:dyDescent="0.3">
      <c r="A49" s="2" t="s">
        <v>157</v>
      </c>
      <c r="B49" s="3">
        <v>45449</v>
      </c>
      <c r="C49" s="2" t="s">
        <v>158</v>
      </c>
      <c r="D49" s="2" t="s">
        <v>159</v>
      </c>
      <c r="E49" s="2" t="s">
        <v>117</v>
      </c>
      <c r="F49" s="2" t="s">
        <v>118</v>
      </c>
      <c r="G49" s="2" t="s">
        <v>19</v>
      </c>
      <c r="H49" s="2">
        <v>1</v>
      </c>
      <c r="I49" s="4">
        <v>89.99</v>
      </c>
      <c r="J49" s="2" t="s">
        <v>26</v>
      </c>
      <c r="K49" s="2" t="s">
        <v>35</v>
      </c>
      <c r="L49" s="2" t="s">
        <v>36</v>
      </c>
      <c r="M49" s="3">
        <v>44582</v>
      </c>
      <c r="N49" s="4">
        <v>89.99</v>
      </c>
      <c r="O49" s="5">
        <f t="shared" ca="1" si="0"/>
        <v>46301.61373611111</v>
      </c>
      <c r="P49" s="6">
        <f t="shared" ca="1" si="1"/>
        <v>46302</v>
      </c>
      <c r="Q49" s="7">
        <f>DATEDIF(Sales_Data[[#This Row],[Customer_Since]],Sales_Data[[#This Row],[Date]],"d")</f>
        <v>867</v>
      </c>
      <c r="R49" s="8">
        <f t="shared" si="2"/>
        <v>45473</v>
      </c>
      <c r="S49" s="9" t="str">
        <f t="shared" si="3"/>
        <v>Jun-24</v>
      </c>
      <c r="T49" s="9">
        <f>COUNTIF(Sales_Data[Product_Name],F49)</f>
        <v>34</v>
      </c>
      <c r="U49" s="9">
        <f>COUNTIF(Sales_Data[Customer_ID],C49)</f>
        <v>5</v>
      </c>
      <c r="V49" s="9" t="str">
        <f t="shared" si="4"/>
        <v>BC</v>
      </c>
    </row>
    <row r="50" spans="1:22" ht="15.75" customHeight="1" x14ac:dyDescent="0.3">
      <c r="A50" s="2" t="s">
        <v>160</v>
      </c>
      <c r="B50" s="3">
        <v>45450</v>
      </c>
      <c r="C50" s="2" t="s">
        <v>42</v>
      </c>
      <c r="D50" s="2" t="s">
        <v>43</v>
      </c>
      <c r="E50" s="2" t="s">
        <v>44</v>
      </c>
      <c r="F50" s="2" t="s">
        <v>45</v>
      </c>
      <c r="G50" s="2" t="s">
        <v>46</v>
      </c>
      <c r="H50" s="2">
        <v>2</v>
      </c>
      <c r="I50" s="4">
        <v>149.99</v>
      </c>
      <c r="J50" s="2" t="s">
        <v>20</v>
      </c>
      <c r="K50" s="2" t="s">
        <v>63</v>
      </c>
      <c r="L50" s="2" t="s">
        <v>27</v>
      </c>
      <c r="M50" s="3">
        <v>44645</v>
      </c>
      <c r="N50" s="4">
        <v>299.98</v>
      </c>
      <c r="O50" s="5">
        <f t="shared" ca="1" si="0"/>
        <v>46301.61373611111</v>
      </c>
      <c r="P50" s="6">
        <f t="shared" ca="1" si="1"/>
        <v>46302</v>
      </c>
      <c r="Q50" s="7">
        <f>DATEDIF(Sales_Data[[#This Row],[Customer_Since]],Sales_Data[[#This Row],[Date]],"d")</f>
        <v>805</v>
      </c>
      <c r="R50" s="8">
        <f t="shared" si="2"/>
        <v>45473</v>
      </c>
      <c r="S50" s="9" t="str">
        <f t="shared" si="3"/>
        <v>Jun-24</v>
      </c>
      <c r="T50" s="9">
        <f>COUNTIF(Sales_Data[Product_Name],F50)</f>
        <v>35</v>
      </c>
      <c r="U50" s="9">
        <f>COUNTIF(Sales_Data[Customer_ID],C50)</f>
        <v>9</v>
      </c>
      <c r="V50" s="9" t="str">
        <f t="shared" si="4"/>
        <v>MB</v>
      </c>
    </row>
    <row r="51" spans="1:22" ht="15.75" customHeight="1" x14ac:dyDescent="0.3">
      <c r="A51" s="2" t="s">
        <v>161</v>
      </c>
      <c r="B51" s="3">
        <v>45452</v>
      </c>
      <c r="C51" s="2" t="s">
        <v>162</v>
      </c>
      <c r="D51" s="2" t="s">
        <v>163</v>
      </c>
      <c r="E51" s="2" t="s">
        <v>31</v>
      </c>
      <c r="F51" s="2" t="s">
        <v>32</v>
      </c>
      <c r="G51" s="2" t="s">
        <v>33</v>
      </c>
      <c r="H51" s="2">
        <v>4</v>
      </c>
      <c r="I51" s="4">
        <v>59.99</v>
      </c>
      <c r="J51" s="2" t="s">
        <v>20</v>
      </c>
      <c r="K51" s="2" t="s">
        <v>63</v>
      </c>
      <c r="L51" s="2" t="s">
        <v>36</v>
      </c>
      <c r="M51" s="3">
        <v>44435</v>
      </c>
      <c r="N51" s="4">
        <v>239.96</v>
      </c>
      <c r="O51" s="5">
        <f t="shared" ca="1" si="0"/>
        <v>46301.61373611111</v>
      </c>
      <c r="P51" s="6">
        <f t="shared" ca="1" si="1"/>
        <v>46302</v>
      </c>
      <c r="Q51" s="7">
        <f>DATEDIF(Sales_Data[[#This Row],[Customer_Since]],Sales_Data[[#This Row],[Date]],"d")</f>
        <v>1017</v>
      </c>
      <c r="R51" s="8">
        <f t="shared" si="2"/>
        <v>45473</v>
      </c>
      <c r="S51" s="9" t="str">
        <f t="shared" si="3"/>
        <v>Jun-24</v>
      </c>
      <c r="T51" s="9">
        <f>COUNTIF(Sales_Data[Product_Name],F51)</f>
        <v>29</v>
      </c>
      <c r="U51" s="9">
        <f>COUNTIF(Sales_Data[Customer_ID],C51)</f>
        <v>1</v>
      </c>
      <c r="V51" s="9" t="str">
        <f t="shared" si="4"/>
        <v>JF</v>
      </c>
    </row>
    <row r="52" spans="1:22" ht="15.75" customHeight="1" x14ac:dyDescent="0.3">
      <c r="A52" s="2" t="s">
        <v>164</v>
      </c>
      <c r="B52" s="3">
        <v>45456</v>
      </c>
      <c r="C52" s="2" t="s">
        <v>129</v>
      </c>
      <c r="D52" s="2" t="s">
        <v>130</v>
      </c>
      <c r="E52" s="2" t="s">
        <v>117</v>
      </c>
      <c r="F52" s="2" t="s">
        <v>118</v>
      </c>
      <c r="G52" s="2" t="s">
        <v>19</v>
      </c>
      <c r="H52" s="2">
        <v>5</v>
      </c>
      <c r="I52" s="4">
        <v>89.99</v>
      </c>
      <c r="J52" s="2" t="s">
        <v>20</v>
      </c>
      <c r="K52" s="2" t="s">
        <v>21</v>
      </c>
      <c r="L52" s="2" t="s">
        <v>27</v>
      </c>
      <c r="M52" s="3">
        <v>44579</v>
      </c>
      <c r="N52" s="4">
        <v>449.95</v>
      </c>
      <c r="O52" s="5">
        <f t="shared" ca="1" si="0"/>
        <v>46301.61373611111</v>
      </c>
      <c r="P52" s="6">
        <f t="shared" ca="1" si="1"/>
        <v>46302</v>
      </c>
      <c r="Q52" s="7">
        <f>DATEDIF(Sales_Data[[#This Row],[Customer_Since]],Sales_Data[[#This Row],[Date]],"d")</f>
        <v>877</v>
      </c>
      <c r="R52" s="8">
        <f t="shared" si="2"/>
        <v>45473</v>
      </c>
      <c r="S52" s="9" t="str">
        <f t="shared" si="3"/>
        <v>Jun-24</v>
      </c>
      <c r="T52" s="9">
        <f>COUNTIF(Sales_Data[Product_Name],F52)</f>
        <v>34</v>
      </c>
      <c r="U52" s="9">
        <f>COUNTIF(Sales_Data[Customer_ID],C52)</f>
        <v>5</v>
      </c>
      <c r="V52" s="9" t="str">
        <f t="shared" si="4"/>
        <v>LA</v>
      </c>
    </row>
    <row r="53" spans="1:22" ht="15.75" customHeight="1" x14ac:dyDescent="0.3">
      <c r="A53" s="2" t="s">
        <v>165</v>
      </c>
      <c r="B53" s="3">
        <v>45459</v>
      </c>
      <c r="C53" s="2" t="s">
        <v>99</v>
      </c>
      <c r="D53" s="2" t="s">
        <v>100</v>
      </c>
      <c r="E53" s="2" t="s">
        <v>117</v>
      </c>
      <c r="F53" s="2" t="s">
        <v>118</v>
      </c>
      <c r="G53" s="2" t="s">
        <v>19</v>
      </c>
      <c r="H53" s="2">
        <v>2</v>
      </c>
      <c r="I53" s="4">
        <v>89.99</v>
      </c>
      <c r="J53" s="2" t="s">
        <v>26</v>
      </c>
      <c r="K53" s="2" t="s">
        <v>35</v>
      </c>
      <c r="L53" s="2" t="s">
        <v>27</v>
      </c>
      <c r="M53" s="3">
        <v>44471</v>
      </c>
      <c r="N53" s="4">
        <v>179.98</v>
      </c>
      <c r="O53" s="5">
        <f t="shared" ca="1" si="0"/>
        <v>46301.61373611111</v>
      </c>
      <c r="P53" s="6">
        <f t="shared" ca="1" si="1"/>
        <v>46302</v>
      </c>
      <c r="Q53" s="7">
        <f>DATEDIF(Sales_Data[[#This Row],[Customer_Since]],Sales_Data[[#This Row],[Date]],"d")</f>
        <v>988</v>
      </c>
      <c r="R53" s="8">
        <f t="shared" si="2"/>
        <v>45473</v>
      </c>
      <c r="S53" s="9" t="str">
        <f t="shared" si="3"/>
        <v>Jun-24</v>
      </c>
      <c r="T53" s="9">
        <f>COUNTIF(Sales_Data[Product_Name],F53)</f>
        <v>34</v>
      </c>
      <c r="U53" s="9">
        <f>COUNTIF(Sales_Data[Customer_ID],C53)</f>
        <v>8</v>
      </c>
      <c r="V53" s="9" t="str">
        <f t="shared" si="4"/>
        <v>PM</v>
      </c>
    </row>
    <row r="54" spans="1:22" ht="15.75" customHeight="1" x14ac:dyDescent="0.3">
      <c r="A54" s="2" t="s">
        <v>166</v>
      </c>
      <c r="B54" s="3">
        <v>45459</v>
      </c>
      <c r="C54" s="2" t="s">
        <v>15</v>
      </c>
      <c r="D54" s="2" t="s">
        <v>16</v>
      </c>
      <c r="E54" s="2" t="s">
        <v>61</v>
      </c>
      <c r="F54" s="2" t="s">
        <v>62</v>
      </c>
      <c r="G54" s="2" t="s">
        <v>19</v>
      </c>
      <c r="H54" s="2">
        <v>5</v>
      </c>
      <c r="I54" s="4">
        <v>899.99</v>
      </c>
      <c r="J54" s="2" t="s">
        <v>26</v>
      </c>
      <c r="K54" s="2" t="s">
        <v>35</v>
      </c>
      <c r="L54" s="2" t="s">
        <v>36</v>
      </c>
      <c r="M54" s="3">
        <v>44974</v>
      </c>
      <c r="N54" s="4">
        <v>4499.95</v>
      </c>
      <c r="O54" s="5">
        <f t="shared" ca="1" si="0"/>
        <v>46301.61373611111</v>
      </c>
      <c r="P54" s="6">
        <f t="shared" ca="1" si="1"/>
        <v>46302</v>
      </c>
      <c r="Q54" s="7">
        <f>DATEDIF(Sales_Data[[#This Row],[Customer_Since]],Sales_Data[[#This Row],[Date]],"d")</f>
        <v>485</v>
      </c>
      <c r="R54" s="8">
        <f t="shared" si="2"/>
        <v>45473</v>
      </c>
      <c r="S54" s="9" t="str">
        <f t="shared" si="3"/>
        <v>Jun-24</v>
      </c>
      <c r="T54" s="9">
        <f>COUNTIF(Sales_Data[Product_Name],F54)</f>
        <v>24</v>
      </c>
      <c r="U54" s="9">
        <f>COUNTIF(Sales_Data[Customer_ID],C54)</f>
        <v>8</v>
      </c>
      <c r="V54" s="9" t="str">
        <f t="shared" si="4"/>
        <v>PB</v>
      </c>
    </row>
    <row r="55" spans="1:22" ht="15.75" customHeight="1" x14ac:dyDescent="0.3">
      <c r="A55" s="2" t="s">
        <v>167</v>
      </c>
      <c r="B55" s="3">
        <v>45459</v>
      </c>
      <c r="C55" s="2" t="s">
        <v>123</v>
      </c>
      <c r="D55" s="2" t="s">
        <v>124</v>
      </c>
      <c r="E55" s="2" t="s">
        <v>61</v>
      </c>
      <c r="F55" s="2" t="s">
        <v>62</v>
      </c>
      <c r="G55" s="2" t="s">
        <v>19</v>
      </c>
      <c r="H55" s="2">
        <v>5</v>
      </c>
      <c r="I55" s="4">
        <v>899.99</v>
      </c>
      <c r="J55" s="2" t="s">
        <v>34</v>
      </c>
      <c r="K55" s="2" t="s">
        <v>63</v>
      </c>
      <c r="L55" s="2" t="s">
        <v>27</v>
      </c>
      <c r="M55" s="3">
        <v>45278</v>
      </c>
      <c r="N55" s="4">
        <v>4499.95</v>
      </c>
      <c r="O55" s="5">
        <f t="shared" ca="1" si="0"/>
        <v>46301.61373611111</v>
      </c>
      <c r="P55" s="6">
        <f t="shared" ca="1" si="1"/>
        <v>46302</v>
      </c>
      <c r="Q55" s="7">
        <f>DATEDIF(Sales_Data[[#This Row],[Customer_Since]],Sales_Data[[#This Row],[Date]],"d")</f>
        <v>181</v>
      </c>
      <c r="R55" s="8">
        <f t="shared" si="2"/>
        <v>45473</v>
      </c>
      <c r="S55" s="9" t="str">
        <f t="shared" si="3"/>
        <v>Jun-24</v>
      </c>
      <c r="T55" s="9">
        <f>COUNTIF(Sales_Data[Product_Name],F55)</f>
        <v>24</v>
      </c>
      <c r="U55" s="9">
        <f>COUNTIF(Sales_Data[Customer_ID],C55)</f>
        <v>6</v>
      </c>
      <c r="V55" s="9" t="str">
        <f t="shared" si="4"/>
        <v>EM</v>
      </c>
    </row>
    <row r="56" spans="1:22" ht="15.75" customHeight="1" x14ac:dyDescent="0.3">
      <c r="A56" s="2" t="s">
        <v>168</v>
      </c>
      <c r="B56" s="3">
        <v>45460</v>
      </c>
      <c r="C56" s="2" t="s">
        <v>158</v>
      </c>
      <c r="D56" s="2" t="s">
        <v>159</v>
      </c>
      <c r="E56" s="2" t="s">
        <v>31</v>
      </c>
      <c r="F56" s="2" t="s">
        <v>32</v>
      </c>
      <c r="G56" s="2" t="s">
        <v>33</v>
      </c>
      <c r="H56" s="2">
        <v>1</v>
      </c>
      <c r="I56" s="4">
        <v>59.99</v>
      </c>
      <c r="J56" s="2" t="s">
        <v>57</v>
      </c>
      <c r="K56" s="2" t="s">
        <v>50</v>
      </c>
      <c r="L56" s="2" t="s">
        <v>27</v>
      </c>
      <c r="M56" s="3">
        <v>45190</v>
      </c>
      <c r="N56" s="4">
        <v>59.99</v>
      </c>
      <c r="O56" s="5">
        <f t="shared" ca="1" si="0"/>
        <v>46301.61373611111</v>
      </c>
      <c r="P56" s="6">
        <f t="shared" ca="1" si="1"/>
        <v>46302</v>
      </c>
      <c r="Q56" s="7">
        <f>DATEDIF(Sales_Data[[#This Row],[Customer_Since]],Sales_Data[[#This Row],[Date]],"d")</f>
        <v>270</v>
      </c>
      <c r="R56" s="8">
        <f t="shared" si="2"/>
        <v>45473</v>
      </c>
      <c r="S56" s="9" t="str">
        <f t="shared" si="3"/>
        <v>Jun-24</v>
      </c>
      <c r="T56" s="9">
        <f>COUNTIF(Sales_Data[Product_Name],F56)</f>
        <v>29</v>
      </c>
      <c r="U56" s="9">
        <f>COUNTIF(Sales_Data[Customer_ID],C56)</f>
        <v>5</v>
      </c>
      <c r="V56" s="9" t="str">
        <f t="shared" si="4"/>
        <v>BC</v>
      </c>
    </row>
    <row r="57" spans="1:22" ht="15.75" customHeight="1" x14ac:dyDescent="0.3">
      <c r="A57" s="2" t="s">
        <v>169</v>
      </c>
      <c r="B57" s="3">
        <v>45460</v>
      </c>
      <c r="C57" s="2" t="s">
        <v>141</v>
      </c>
      <c r="D57" s="2" t="s">
        <v>142</v>
      </c>
      <c r="E57" s="2" t="s">
        <v>105</v>
      </c>
      <c r="F57" s="2" t="s">
        <v>106</v>
      </c>
      <c r="G57" s="2" t="s">
        <v>46</v>
      </c>
      <c r="H57" s="2">
        <v>2</v>
      </c>
      <c r="I57" s="4">
        <v>299.99</v>
      </c>
      <c r="J57" s="2" t="s">
        <v>57</v>
      </c>
      <c r="K57" s="2" t="s">
        <v>63</v>
      </c>
      <c r="L57" s="2" t="s">
        <v>36</v>
      </c>
      <c r="M57" s="3">
        <v>45253</v>
      </c>
      <c r="N57" s="4">
        <v>599.98</v>
      </c>
      <c r="O57" s="5">
        <f t="shared" ca="1" si="0"/>
        <v>46301.61373611111</v>
      </c>
      <c r="P57" s="6">
        <f t="shared" ca="1" si="1"/>
        <v>46302</v>
      </c>
      <c r="Q57" s="7">
        <f>DATEDIF(Sales_Data[[#This Row],[Customer_Since]],Sales_Data[[#This Row],[Date]],"d")</f>
        <v>207</v>
      </c>
      <c r="R57" s="8">
        <f t="shared" si="2"/>
        <v>45473</v>
      </c>
      <c r="S57" s="9" t="str">
        <f t="shared" si="3"/>
        <v>Jun-24</v>
      </c>
      <c r="T57" s="9">
        <f>COUNTIF(Sales_Data[Product_Name],F57)</f>
        <v>26</v>
      </c>
      <c r="U57" s="9">
        <f>COUNTIF(Sales_Data[Customer_ID],C57)</f>
        <v>4</v>
      </c>
      <c r="V57" s="9" t="str">
        <f t="shared" si="4"/>
        <v>JT</v>
      </c>
    </row>
    <row r="58" spans="1:22" ht="15.75" customHeight="1" x14ac:dyDescent="0.3">
      <c r="A58" s="2" t="s">
        <v>170</v>
      </c>
      <c r="B58" s="3">
        <v>45468</v>
      </c>
      <c r="C58" s="2" t="s">
        <v>171</v>
      </c>
      <c r="D58" s="2" t="s">
        <v>172</v>
      </c>
      <c r="E58" s="2" t="s">
        <v>117</v>
      </c>
      <c r="F58" s="2" t="s">
        <v>118</v>
      </c>
      <c r="G58" s="2" t="s">
        <v>19</v>
      </c>
      <c r="H58" s="2">
        <v>4</v>
      </c>
      <c r="I58" s="4">
        <v>89.99</v>
      </c>
      <c r="J58" s="2" t="s">
        <v>57</v>
      </c>
      <c r="K58" s="2" t="s">
        <v>35</v>
      </c>
      <c r="L58" s="2" t="s">
        <v>22</v>
      </c>
      <c r="M58" s="3">
        <v>45281</v>
      </c>
      <c r="N58" s="4">
        <v>359.96</v>
      </c>
      <c r="O58" s="5">
        <f t="shared" ca="1" si="0"/>
        <v>46301.61373611111</v>
      </c>
      <c r="P58" s="6">
        <f t="shared" ca="1" si="1"/>
        <v>46302</v>
      </c>
      <c r="Q58" s="7">
        <f>DATEDIF(Sales_Data[[#This Row],[Customer_Since]],Sales_Data[[#This Row],[Date]],"d")</f>
        <v>187</v>
      </c>
      <c r="R58" s="8">
        <f t="shared" si="2"/>
        <v>45473</v>
      </c>
      <c r="S58" s="9" t="str">
        <f t="shared" si="3"/>
        <v>Jun-24</v>
      </c>
      <c r="T58" s="9">
        <f>COUNTIF(Sales_Data[Product_Name],F58)</f>
        <v>34</v>
      </c>
      <c r="U58" s="9">
        <f>COUNTIF(Sales_Data[Customer_ID],C58)</f>
        <v>4</v>
      </c>
      <c r="V58" s="9" t="str">
        <f t="shared" si="4"/>
        <v>RR</v>
      </c>
    </row>
    <row r="59" spans="1:22" ht="15.75" customHeight="1" x14ac:dyDescent="0.3">
      <c r="A59" s="2" t="s">
        <v>173</v>
      </c>
      <c r="B59" s="3">
        <v>45469</v>
      </c>
      <c r="C59" s="2" t="s">
        <v>29</v>
      </c>
      <c r="D59" s="2" t="s">
        <v>30</v>
      </c>
      <c r="E59" s="2" t="s">
        <v>114</v>
      </c>
      <c r="F59" s="2" t="s">
        <v>115</v>
      </c>
      <c r="G59" s="2" t="s">
        <v>33</v>
      </c>
      <c r="H59" s="2">
        <v>1</v>
      </c>
      <c r="I59" s="4">
        <v>79.989999999999995</v>
      </c>
      <c r="J59" s="2" t="s">
        <v>34</v>
      </c>
      <c r="K59" s="2" t="s">
        <v>21</v>
      </c>
      <c r="L59" s="2" t="s">
        <v>27</v>
      </c>
      <c r="M59" s="3">
        <v>45352</v>
      </c>
      <c r="N59" s="4">
        <v>79.989999999999995</v>
      </c>
      <c r="O59" s="5">
        <f t="shared" ca="1" si="0"/>
        <v>46301.61373611111</v>
      </c>
      <c r="P59" s="6">
        <f t="shared" ca="1" si="1"/>
        <v>46302</v>
      </c>
      <c r="Q59" s="7">
        <f>DATEDIF(Sales_Data[[#This Row],[Customer_Since]],Sales_Data[[#This Row],[Date]],"d")</f>
        <v>117</v>
      </c>
      <c r="R59" s="8">
        <f t="shared" si="2"/>
        <v>45473</v>
      </c>
      <c r="S59" s="9" t="str">
        <f t="shared" si="3"/>
        <v>Jun-24</v>
      </c>
      <c r="T59" s="9">
        <f>COUNTIF(Sales_Data[Product_Name],F59)</f>
        <v>14</v>
      </c>
      <c r="U59" s="9">
        <f>COUNTIF(Sales_Data[Customer_ID],C59)</f>
        <v>6</v>
      </c>
      <c r="V59" s="9" t="str">
        <f t="shared" si="4"/>
        <v>KS</v>
      </c>
    </row>
    <row r="60" spans="1:22" ht="15.75" customHeight="1" x14ac:dyDescent="0.3">
      <c r="A60" s="2" t="s">
        <v>174</v>
      </c>
      <c r="B60" s="3">
        <v>45469</v>
      </c>
      <c r="C60" s="2" t="s">
        <v>59</v>
      </c>
      <c r="D60" s="2" t="s">
        <v>60</v>
      </c>
      <c r="E60" s="2" t="s">
        <v>117</v>
      </c>
      <c r="F60" s="2" t="s">
        <v>118</v>
      </c>
      <c r="G60" s="2" t="s">
        <v>19</v>
      </c>
      <c r="H60" s="2">
        <v>2</v>
      </c>
      <c r="I60" s="4">
        <v>89.99</v>
      </c>
      <c r="J60" s="2" t="s">
        <v>20</v>
      </c>
      <c r="K60" s="2" t="s">
        <v>50</v>
      </c>
      <c r="L60" s="2" t="s">
        <v>22</v>
      </c>
      <c r="M60" s="3">
        <v>44438</v>
      </c>
      <c r="N60" s="4">
        <v>179.98</v>
      </c>
      <c r="O60" s="5">
        <f t="shared" ca="1" si="0"/>
        <v>46301.61373611111</v>
      </c>
      <c r="P60" s="6">
        <f t="shared" ca="1" si="1"/>
        <v>46302</v>
      </c>
      <c r="Q60" s="7">
        <f>DATEDIF(Sales_Data[[#This Row],[Customer_Since]],Sales_Data[[#This Row],[Date]],"d")</f>
        <v>1031</v>
      </c>
      <c r="R60" s="8">
        <f t="shared" si="2"/>
        <v>45473</v>
      </c>
      <c r="S60" s="9" t="str">
        <f t="shared" si="3"/>
        <v>Jun-24</v>
      </c>
      <c r="T60" s="9">
        <f>COUNTIF(Sales_Data[Product_Name],F60)</f>
        <v>34</v>
      </c>
      <c r="U60" s="9">
        <f>COUNTIF(Sales_Data[Customer_ID],C60)</f>
        <v>5</v>
      </c>
      <c r="V60" s="9" t="str">
        <f t="shared" si="4"/>
        <v>RT</v>
      </c>
    </row>
    <row r="61" spans="1:22" ht="15.75" customHeight="1" x14ac:dyDescent="0.3">
      <c r="A61" s="2" t="s">
        <v>175</v>
      </c>
      <c r="B61" s="3">
        <v>45471</v>
      </c>
      <c r="C61" s="2" t="s">
        <v>38</v>
      </c>
      <c r="D61" s="2" t="s">
        <v>39</v>
      </c>
      <c r="E61" s="2" t="s">
        <v>80</v>
      </c>
      <c r="F61" s="2" t="s">
        <v>81</v>
      </c>
      <c r="G61" s="2" t="s">
        <v>19</v>
      </c>
      <c r="H61" s="2">
        <v>3</v>
      </c>
      <c r="I61" s="4">
        <v>699.99</v>
      </c>
      <c r="J61" s="2" t="s">
        <v>26</v>
      </c>
      <c r="K61" s="2" t="s">
        <v>63</v>
      </c>
      <c r="L61" s="2" t="s">
        <v>27</v>
      </c>
      <c r="M61" s="3">
        <v>45102</v>
      </c>
      <c r="N61" s="4">
        <v>2099.9699999999998</v>
      </c>
      <c r="O61" s="5">
        <f t="shared" ca="1" si="0"/>
        <v>46301.61373611111</v>
      </c>
      <c r="P61" s="6">
        <f t="shared" ca="1" si="1"/>
        <v>46302</v>
      </c>
      <c r="Q61" s="7">
        <f>DATEDIF(Sales_Data[[#This Row],[Customer_Since]],Sales_Data[[#This Row],[Date]],"d")</f>
        <v>369</v>
      </c>
      <c r="R61" s="8">
        <f t="shared" si="2"/>
        <v>45473</v>
      </c>
      <c r="S61" s="9" t="str">
        <f t="shared" si="3"/>
        <v>Jun-24</v>
      </c>
      <c r="T61" s="9">
        <f>COUNTIF(Sales_Data[Product_Name],F61)</f>
        <v>31</v>
      </c>
      <c r="U61" s="9">
        <f>COUNTIF(Sales_Data[Customer_ID],C61)</f>
        <v>6</v>
      </c>
      <c r="V61" s="9" t="str">
        <f t="shared" si="4"/>
        <v>KB</v>
      </c>
    </row>
    <row r="62" spans="1:22" ht="15.75" customHeight="1" x14ac:dyDescent="0.3">
      <c r="A62" s="2" t="s">
        <v>176</v>
      </c>
      <c r="B62" s="3">
        <v>45471</v>
      </c>
      <c r="C62" s="2" t="s">
        <v>99</v>
      </c>
      <c r="D62" s="2" t="s">
        <v>100</v>
      </c>
      <c r="E62" s="2" t="s">
        <v>61</v>
      </c>
      <c r="F62" s="2" t="s">
        <v>62</v>
      </c>
      <c r="G62" s="2" t="s">
        <v>19</v>
      </c>
      <c r="H62" s="2">
        <v>4</v>
      </c>
      <c r="I62" s="4">
        <v>899.99</v>
      </c>
      <c r="J62" s="2" t="s">
        <v>26</v>
      </c>
      <c r="K62" s="2" t="s">
        <v>63</v>
      </c>
      <c r="L62" s="2" t="s">
        <v>27</v>
      </c>
      <c r="M62" s="3">
        <v>44993</v>
      </c>
      <c r="N62" s="4">
        <v>3599.96</v>
      </c>
      <c r="O62" s="5">
        <f t="shared" ca="1" si="0"/>
        <v>46301.61373611111</v>
      </c>
      <c r="P62" s="6">
        <f t="shared" ca="1" si="1"/>
        <v>46302</v>
      </c>
      <c r="Q62" s="7">
        <f>DATEDIF(Sales_Data[[#This Row],[Customer_Since]],Sales_Data[[#This Row],[Date]],"d")</f>
        <v>478</v>
      </c>
      <c r="R62" s="8">
        <f t="shared" si="2"/>
        <v>45473</v>
      </c>
      <c r="S62" s="9" t="str">
        <f t="shared" si="3"/>
        <v>Jun-24</v>
      </c>
      <c r="T62" s="9">
        <f>COUNTIF(Sales_Data[Product_Name],F62)</f>
        <v>24</v>
      </c>
      <c r="U62" s="9">
        <f>COUNTIF(Sales_Data[Customer_ID],C62)</f>
        <v>8</v>
      </c>
      <c r="V62" s="9" t="str">
        <f t="shared" si="4"/>
        <v>PM</v>
      </c>
    </row>
    <row r="63" spans="1:22" ht="15.75" customHeight="1" x14ac:dyDescent="0.3">
      <c r="A63" s="2" t="s">
        <v>177</v>
      </c>
      <c r="B63" s="3">
        <v>45472</v>
      </c>
      <c r="C63" s="2" t="s">
        <v>120</v>
      </c>
      <c r="D63" s="2" t="s">
        <v>121</v>
      </c>
      <c r="E63" s="2" t="s">
        <v>44</v>
      </c>
      <c r="F63" s="2" t="s">
        <v>45</v>
      </c>
      <c r="G63" s="2" t="s">
        <v>46</v>
      </c>
      <c r="H63" s="2">
        <v>1</v>
      </c>
      <c r="I63" s="4">
        <v>149.99</v>
      </c>
      <c r="J63" s="2" t="s">
        <v>34</v>
      </c>
      <c r="K63" s="2" t="s">
        <v>63</v>
      </c>
      <c r="L63" s="2" t="s">
        <v>22</v>
      </c>
      <c r="M63" s="3">
        <v>44851</v>
      </c>
      <c r="N63" s="4">
        <v>149.99</v>
      </c>
      <c r="O63" s="5">
        <f t="shared" ca="1" si="0"/>
        <v>46301.61373611111</v>
      </c>
      <c r="P63" s="6">
        <f t="shared" ca="1" si="1"/>
        <v>46302</v>
      </c>
      <c r="Q63" s="7">
        <f>DATEDIF(Sales_Data[[#This Row],[Customer_Since]],Sales_Data[[#This Row],[Date]],"d")</f>
        <v>621</v>
      </c>
      <c r="R63" s="8">
        <f t="shared" si="2"/>
        <v>45473</v>
      </c>
      <c r="S63" s="9" t="str">
        <f t="shared" si="3"/>
        <v>Jun-24</v>
      </c>
      <c r="T63" s="9">
        <f>COUNTIF(Sales_Data[Product_Name],F63)</f>
        <v>35</v>
      </c>
      <c r="U63" s="9">
        <f>COUNTIF(Sales_Data[Customer_ID],C63)</f>
        <v>7</v>
      </c>
      <c r="V63" s="9" t="str">
        <f t="shared" si="4"/>
        <v>HR</v>
      </c>
    </row>
    <row r="64" spans="1:22" ht="15.75" customHeight="1" x14ac:dyDescent="0.3">
      <c r="A64" s="2" t="s">
        <v>178</v>
      </c>
      <c r="B64" s="3">
        <v>45474</v>
      </c>
      <c r="C64" s="2" t="s">
        <v>132</v>
      </c>
      <c r="D64" s="2" t="s">
        <v>133</v>
      </c>
      <c r="E64" s="2" t="s">
        <v>117</v>
      </c>
      <c r="F64" s="2" t="s">
        <v>118</v>
      </c>
      <c r="G64" s="2" t="s">
        <v>19</v>
      </c>
      <c r="H64" s="2">
        <v>2</v>
      </c>
      <c r="I64" s="4">
        <v>89.99</v>
      </c>
      <c r="J64" s="2" t="s">
        <v>34</v>
      </c>
      <c r="K64" s="2" t="s">
        <v>21</v>
      </c>
      <c r="L64" s="2" t="s">
        <v>27</v>
      </c>
      <c r="M64" s="3">
        <v>45275</v>
      </c>
      <c r="N64" s="4">
        <v>179.98</v>
      </c>
      <c r="O64" s="5">
        <f t="shared" ca="1" si="0"/>
        <v>46301.61373611111</v>
      </c>
      <c r="P64" s="6">
        <f t="shared" ca="1" si="1"/>
        <v>46302</v>
      </c>
      <c r="Q64" s="7">
        <f>DATEDIF(Sales_Data[[#This Row],[Customer_Since]],Sales_Data[[#This Row],[Date]],"d")</f>
        <v>199</v>
      </c>
      <c r="R64" s="8">
        <f t="shared" si="2"/>
        <v>45504</v>
      </c>
      <c r="S64" s="9" t="str">
        <f t="shared" si="3"/>
        <v>Jul-24</v>
      </c>
      <c r="T64" s="9">
        <f>COUNTIF(Sales_Data[Product_Name],F64)</f>
        <v>34</v>
      </c>
      <c r="U64" s="9">
        <f>COUNTIF(Sales_Data[Customer_ID],C64)</f>
        <v>5</v>
      </c>
      <c r="V64" s="9" t="str">
        <f t="shared" si="4"/>
        <v>EW</v>
      </c>
    </row>
    <row r="65" spans="1:22" ht="15.75" customHeight="1" x14ac:dyDescent="0.3">
      <c r="A65" s="2" t="s">
        <v>179</v>
      </c>
      <c r="B65" s="3">
        <v>45475</v>
      </c>
      <c r="C65" s="2" t="s">
        <v>55</v>
      </c>
      <c r="D65" s="2" t="s">
        <v>56</v>
      </c>
      <c r="E65" s="2" t="s">
        <v>117</v>
      </c>
      <c r="F65" s="2" t="s">
        <v>118</v>
      </c>
      <c r="G65" s="2" t="s">
        <v>19</v>
      </c>
      <c r="H65" s="2">
        <v>1</v>
      </c>
      <c r="I65" s="4">
        <v>89.99</v>
      </c>
      <c r="J65" s="2" t="s">
        <v>34</v>
      </c>
      <c r="K65" s="2" t="s">
        <v>50</v>
      </c>
      <c r="L65" s="2" t="s">
        <v>36</v>
      </c>
      <c r="M65" s="3">
        <v>44802</v>
      </c>
      <c r="N65" s="4">
        <v>89.99</v>
      </c>
      <c r="O65" s="5">
        <f t="shared" ca="1" si="0"/>
        <v>46301.61373611111</v>
      </c>
      <c r="P65" s="6">
        <f t="shared" ca="1" si="1"/>
        <v>46302</v>
      </c>
      <c r="Q65" s="7">
        <f>DATEDIF(Sales_Data[[#This Row],[Customer_Since]],Sales_Data[[#This Row],[Date]],"d")</f>
        <v>673</v>
      </c>
      <c r="R65" s="8">
        <f t="shared" si="2"/>
        <v>45504</v>
      </c>
      <c r="S65" s="9" t="str">
        <f t="shared" si="3"/>
        <v>Jul-24</v>
      </c>
      <c r="T65" s="9">
        <f>COUNTIF(Sales_Data[Product_Name],F65)</f>
        <v>34</v>
      </c>
      <c r="U65" s="9">
        <f>COUNTIF(Sales_Data[Customer_ID],C65)</f>
        <v>9</v>
      </c>
      <c r="V65" s="9" t="str">
        <f t="shared" si="4"/>
        <v>CA</v>
      </c>
    </row>
    <row r="66" spans="1:22" ht="15.75" customHeight="1" x14ac:dyDescent="0.3">
      <c r="A66" s="2" t="s">
        <v>180</v>
      </c>
      <c r="B66" s="3">
        <v>45476</v>
      </c>
      <c r="C66" s="2" t="s">
        <v>68</v>
      </c>
      <c r="D66" s="2" t="s">
        <v>69</v>
      </c>
      <c r="E66" s="2" t="s">
        <v>117</v>
      </c>
      <c r="F66" s="2" t="s">
        <v>118</v>
      </c>
      <c r="G66" s="2" t="s">
        <v>19</v>
      </c>
      <c r="H66" s="2">
        <v>1</v>
      </c>
      <c r="I66" s="4">
        <v>89.99</v>
      </c>
      <c r="J66" s="2" t="s">
        <v>20</v>
      </c>
      <c r="K66" s="2" t="s">
        <v>35</v>
      </c>
      <c r="L66" s="2" t="s">
        <v>36</v>
      </c>
      <c r="M66" s="3">
        <v>44611</v>
      </c>
      <c r="N66" s="4">
        <v>89.99</v>
      </c>
      <c r="O66" s="5">
        <f t="shared" ca="1" si="0"/>
        <v>46301.61373611111</v>
      </c>
      <c r="P66" s="6">
        <f t="shared" ca="1" si="1"/>
        <v>46302</v>
      </c>
      <c r="Q66" s="7">
        <f>DATEDIF(Sales_Data[[#This Row],[Customer_Since]],Sales_Data[[#This Row],[Date]],"d")</f>
        <v>865</v>
      </c>
      <c r="R66" s="8">
        <f t="shared" si="2"/>
        <v>45504</v>
      </c>
      <c r="S66" s="9" t="str">
        <f t="shared" si="3"/>
        <v>Jul-24</v>
      </c>
      <c r="T66" s="9">
        <f>COUNTIF(Sales_Data[Product_Name],F66)</f>
        <v>34</v>
      </c>
      <c r="U66" s="9">
        <f>COUNTIF(Sales_Data[Customer_ID],C66)</f>
        <v>4</v>
      </c>
      <c r="V66" s="9" t="str">
        <f t="shared" si="4"/>
        <v>SG</v>
      </c>
    </row>
    <row r="67" spans="1:22" ht="15.75" customHeight="1" x14ac:dyDescent="0.3">
      <c r="A67" s="2" t="s">
        <v>181</v>
      </c>
      <c r="B67" s="3">
        <v>45476</v>
      </c>
      <c r="C67" s="2" t="s">
        <v>182</v>
      </c>
      <c r="D67" s="2" t="s">
        <v>183</v>
      </c>
      <c r="E67" s="2" t="s">
        <v>114</v>
      </c>
      <c r="F67" s="2" t="s">
        <v>115</v>
      </c>
      <c r="G67" s="2" t="s">
        <v>33</v>
      </c>
      <c r="H67" s="2">
        <v>5</v>
      </c>
      <c r="I67" s="4">
        <v>79.989999999999995</v>
      </c>
      <c r="J67" s="2" t="s">
        <v>57</v>
      </c>
      <c r="K67" s="2" t="s">
        <v>21</v>
      </c>
      <c r="L67" s="2" t="s">
        <v>22</v>
      </c>
      <c r="M67" s="3">
        <v>44981</v>
      </c>
      <c r="N67" s="4">
        <v>399.95</v>
      </c>
      <c r="O67" s="5">
        <f t="shared" ca="1" si="0"/>
        <v>46301.61373611111</v>
      </c>
      <c r="P67" s="6">
        <f t="shared" ca="1" si="1"/>
        <v>46302</v>
      </c>
      <c r="Q67" s="7">
        <f>DATEDIF(Sales_Data[[#This Row],[Customer_Since]],Sales_Data[[#This Row],[Date]],"d")</f>
        <v>495</v>
      </c>
      <c r="R67" s="8">
        <f t="shared" si="2"/>
        <v>45504</v>
      </c>
      <c r="S67" s="9" t="str">
        <f t="shared" si="3"/>
        <v>Jul-24</v>
      </c>
      <c r="T67" s="9">
        <f>COUNTIF(Sales_Data[Product_Name],F67)</f>
        <v>14</v>
      </c>
      <c r="U67" s="9">
        <f>COUNTIF(Sales_Data[Customer_ID],C67)</f>
        <v>6</v>
      </c>
      <c r="V67" s="9" t="str">
        <f t="shared" si="4"/>
        <v>DM</v>
      </c>
    </row>
    <row r="68" spans="1:22" ht="15.75" customHeight="1" x14ac:dyDescent="0.3">
      <c r="A68" s="2" t="s">
        <v>184</v>
      </c>
      <c r="B68" s="3">
        <v>45481</v>
      </c>
      <c r="C68" s="2" t="s">
        <v>185</v>
      </c>
      <c r="D68" s="2" t="s">
        <v>186</v>
      </c>
      <c r="E68" s="2" t="s">
        <v>44</v>
      </c>
      <c r="F68" s="2" t="s">
        <v>45</v>
      </c>
      <c r="G68" s="2" t="s">
        <v>46</v>
      </c>
      <c r="H68" s="2">
        <v>1</v>
      </c>
      <c r="I68" s="4">
        <v>149.99</v>
      </c>
      <c r="J68" s="2" t="s">
        <v>34</v>
      </c>
      <c r="K68" s="2" t="s">
        <v>40</v>
      </c>
      <c r="L68" s="2" t="s">
        <v>22</v>
      </c>
      <c r="M68" s="3">
        <v>44421</v>
      </c>
      <c r="N68" s="4">
        <v>149.99</v>
      </c>
      <c r="O68" s="5">
        <f t="shared" ca="1" si="0"/>
        <v>46301.61373611111</v>
      </c>
      <c r="P68" s="6">
        <f t="shared" ca="1" si="1"/>
        <v>46302</v>
      </c>
      <c r="Q68" s="7">
        <f>DATEDIF(Sales_Data[[#This Row],[Customer_Since]],Sales_Data[[#This Row],[Date]],"d")</f>
        <v>1060</v>
      </c>
      <c r="R68" s="8">
        <f t="shared" si="2"/>
        <v>45504</v>
      </c>
      <c r="S68" s="9" t="str">
        <f t="shared" si="3"/>
        <v>Jul-24</v>
      </c>
      <c r="T68" s="9">
        <f>COUNTIF(Sales_Data[Product_Name],F68)</f>
        <v>35</v>
      </c>
      <c r="U68" s="9">
        <f>COUNTIF(Sales_Data[Customer_ID],C68)</f>
        <v>4</v>
      </c>
      <c r="V68" s="9" t="str">
        <f t="shared" si="4"/>
        <v>MW</v>
      </c>
    </row>
    <row r="69" spans="1:22" ht="15.75" customHeight="1" x14ac:dyDescent="0.3">
      <c r="A69" s="2" t="s">
        <v>187</v>
      </c>
      <c r="B69" s="3">
        <v>45481</v>
      </c>
      <c r="C69" s="2" t="s">
        <v>42</v>
      </c>
      <c r="D69" s="2" t="s">
        <v>43</v>
      </c>
      <c r="E69" s="2" t="s">
        <v>80</v>
      </c>
      <c r="F69" s="2" t="s">
        <v>81</v>
      </c>
      <c r="G69" s="2" t="s">
        <v>19</v>
      </c>
      <c r="H69" s="2">
        <v>2</v>
      </c>
      <c r="I69" s="4">
        <v>699.99</v>
      </c>
      <c r="J69" s="2" t="s">
        <v>34</v>
      </c>
      <c r="K69" s="2" t="s">
        <v>63</v>
      </c>
      <c r="L69" s="2" t="s">
        <v>27</v>
      </c>
      <c r="M69" s="3">
        <v>45389</v>
      </c>
      <c r="N69" s="4">
        <v>1399.98</v>
      </c>
      <c r="O69" s="5">
        <f t="shared" ref="O69:O132" ca="1" si="5">IF(A69="","",IF(O69=0,NOW(),O69))</f>
        <v>46301.61373611111</v>
      </c>
      <c r="P69" s="6">
        <f t="shared" ref="P69:P132" ca="1" si="6">TODAY()</f>
        <v>46302</v>
      </c>
      <c r="Q69" s="7">
        <f>DATEDIF(Sales_Data[[#This Row],[Customer_Since]],Sales_Data[[#This Row],[Date]],"d")</f>
        <v>92</v>
      </c>
      <c r="R69" s="8">
        <f t="shared" ref="R69:R132" si="7">EOMONTH(B69,0)</f>
        <v>45504</v>
      </c>
      <c r="S69" s="9" t="str">
        <f t="shared" ref="S69:S132" si="8">TEXT(B69,"mmm-yy")</f>
        <v>Jul-24</v>
      </c>
      <c r="T69" s="9">
        <f>COUNTIF(Sales_Data[Product_Name],F69)</f>
        <v>31</v>
      </c>
      <c r="U69" s="9">
        <f>COUNTIF(Sales_Data[Customer_ID],C69)</f>
        <v>9</v>
      </c>
      <c r="V69" s="9" t="str">
        <f t="shared" ref="V69:V132" si="9">UPPER(LEFT(D69,1)&amp;LEFT(MID(D69,FIND(" ",D69)+1,99),1))</f>
        <v>MB</v>
      </c>
    </row>
    <row r="70" spans="1:22" ht="15.75" customHeight="1" x14ac:dyDescent="0.3">
      <c r="A70" s="2" t="s">
        <v>188</v>
      </c>
      <c r="B70" s="3">
        <v>45481</v>
      </c>
      <c r="C70" s="2" t="s">
        <v>96</v>
      </c>
      <c r="D70" s="2" t="s">
        <v>97</v>
      </c>
      <c r="E70" s="2" t="s">
        <v>117</v>
      </c>
      <c r="F70" s="2" t="s">
        <v>118</v>
      </c>
      <c r="G70" s="2" t="s">
        <v>19</v>
      </c>
      <c r="H70" s="2">
        <v>5</v>
      </c>
      <c r="I70" s="4">
        <v>89.99</v>
      </c>
      <c r="J70" s="2" t="s">
        <v>57</v>
      </c>
      <c r="K70" s="2" t="s">
        <v>40</v>
      </c>
      <c r="L70" s="2" t="s">
        <v>27</v>
      </c>
      <c r="M70" s="3">
        <v>45161</v>
      </c>
      <c r="N70" s="4">
        <v>449.95</v>
      </c>
      <c r="O70" s="5">
        <f t="shared" ca="1" si="5"/>
        <v>46301.61373611111</v>
      </c>
      <c r="P70" s="6">
        <f t="shared" ca="1" si="6"/>
        <v>46302</v>
      </c>
      <c r="Q70" s="7">
        <f>DATEDIF(Sales_Data[[#This Row],[Customer_Since]],Sales_Data[[#This Row],[Date]],"d")</f>
        <v>320</v>
      </c>
      <c r="R70" s="8">
        <f t="shared" si="7"/>
        <v>45504</v>
      </c>
      <c r="S70" s="9" t="str">
        <f t="shared" si="8"/>
        <v>Jul-24</v>
      </c>
      <c r="T70" s="9">
        <f>COUNTIF(Sales_Data[Product_Name],F70)</f>
        <v>34</v>
      </c>
      <c r="U70" s="9">
        <f>COUNTIF(Sales_Data[Customer_ID],C70)</f>
        <v>5</v>
      </c>
      <c r="V70" s="9" t="str">
        <f t="shared" si="9"/>
        <v>BY</v>
      </c>
    </row>
    <row r="71" spans="1:22" ht="15.75" customHeight="1" x14ac:dyDescent="0.3">
      <c r="A71" s="2" t="s">
        <v>189</v>
      </c>
      <c r="B71" s="3">
        <v>45482</v>
      </c>
      <c r="C71" s="2" t="s">
        <v>171</v>
      </c>
      <c r="D71" s="2" t="s">
        <v>172</v>
      </c>
      <c r="E71" s="2" t="s">
        <v>31</v>
      </c>
      <c r="F71" s="2" t="s">
        <v>32</v>
      </c>
      <c r="G71" s="2" t="s">
        <v>33</v>
      </c>
      <c r="H71" s="2">
        <v>4</v>
      </c>
      <c r="I71" s="4">
        <v>59.99</v>
      </c>
      <c r="J71" s="2" t="s">
        <v>20</v>
      </c>
      <c r="K71" s="2" t="s">
        <v>35</v>
      </c>
      <c r="L71" s="2" t="s">
        <v>36</v>
      </c>
      <c r="M71" s="3">
        <v>44509</v>
      </c>
      <c r="N71" s="4">
        <v>239.96</v>
      </c>
      <c r="O71" s="5">
        <f t="shared" ca="1" si="5"/>
        <v>46301.61373611111</v>
      </c>
      <c r="P71" s="6">
        <f t="shared" ca="1" si="6"/>
        <v>46302</v>
      </c>
      <c r="Q71" s="7">
        <f>DATEDIF(Sales_Data[[#This Row],[Customer_Since]],Sales_Data[[#This Row],[Date]],"d")</f>
        <v>973</v>
      </c>
      <c r="R71" s="8">
        <f t="shared" si="7"/>
        <v>45504</v>
      </c>
      <c r="S71" s="9" t="str">
        <f t="shared" si="8"/>
        <v>Jul-24</v>
      </c>
      <c r="T71" s="9">
        <f>COUNTIF(Sales_Data[Product_Name],F71)</f>
        <v>29</v>
      </c>
      <c r="U71" s="9">
        <f>COUNTIF(Sales_Data[Customer_ID],C71)</f>
        <v>4</v>
      </c>
      <c r="V71" s="9" t="str">
        <f t="shared" si="9"/>
        <v>RR</v>
      </c>
    </row>
    <row r="72" spans="1:22" ht="15.75" customHeight="1" x14ac:dyDescent="0.3">
      <c r="A72" s="2" t="s">
        <v>190</v>
      </c>
      <c r="B72" s="3">
        <v>45484</v>
      </c>
      <c r="C72" s="2" t="s">
        <v>24</v>
      </c>
      <c r="D72" s="2" t="s">
        <v>25</v>
      </c>
      <c r="E72" s="2" t="s">
        <v>52</v>
      </c>
      <c r="F72" s="2" t="s">
        <v>53</v>
      </c>
      <c r="G72" s="2" t="s">
        <v>19</v>
      </c>
      <c r="H72" s="2">
        <v>1</v>
      </c>
      <c r="I72" s="4">
        <v>149.99</v>
      </c>
      <c r="J72" s="2" t="s">
        <v>20</v>
      </c>
      <c r="K72" s="2" t="s">
        <v>21</v>
      </c>
      <c r="L72" s="2" t="s">
        <v>36</v>
      </c>
      <c r="M72" s="3">
        <v>44909</v>
      </c>
      <c r="N72" s="4">
        <v>149.99</v>
      </c>
      <c r="O72" s="5">
        <f t="shared" ca="1" si="5"/>
        <v>46301.61373611111</v>
      </c>
      <c r="P72" s="6">
        <f t="shared" ca="1" si="6"/>
        <v>46302</v>
      </c>
      <c r="Q72" s="7">
        <f>DATEDIF(Sales_Data[[#This Row],[Customer_Since]],Sales_Data[[#This Row],[Date]],"d")</f>
        <v>575</v>
      </c>
      <c r="R72" s="8">
        <f t="shared" si="7"/>
        <v>45504</v>
      </c>
      <c r="S72" s="9" t="str">
        <f t="shared" si="8"/>
        <v>Jul-24</v>
      </c>
      <c r="T72" s="9">
        <f>COUNTIF(Sales_Data[Product_Name],F72)</f>
        <v>16</v>
      </c>
      <c r="U72" s="9">
        <f>COUNTIF(Sales_Data[Customer_ID],C72)</f>
        <v>5</v>
      </c>
      <c r="V72" s="9" t="str">
        <f t="shared" si="9"/>
        <v>JJ</v>
      </c>
    </row>
    <row r="73" spans="1:22" ht="15.75" customHeight="1" x14ac:dyDescent="0.3">
      <c r="A73" s="2" t="s">
        <v>191</v>
      </c>
      <c r="B73" s="3">
        <v>45484</v>
      </c>
      <c r="C73" s="2" t="s">
        <v>192</v>
      </c>
      <c r="D73" s="2" t="s">
        <v>193</v>
      </c>
      <c r="E73" s="2" t="s">
        <v>105</v>
      </c>
      <c r="F73" s="2" t="s">
        <v>106</v>
      </c>
      <c r="G73" s="2" t="s">
        <v>46</v>
      </c>
      <c r="H73" s="2">
        <v>1</v>
      </c>
      <c r="I73" s="4">
        <v>299.99</v>
      </c>
      <c r="J73" s="2" t="s">
        <v>26</v>
      </c>
      <c r="K73" s="2" t="s">
        <v>40</v>
      </c>
      <c r="L73" s="2" t="s">
        <v>27</v>
      </c>
      <c r="M73" s="3">
        <v>44891</v>
      </c>
      <c r="N73" s="4">
        <v>299.99</v>
      </c>
      <c r="O73" s="5">
        <f t="shared" ca="1" si="5"/>
        <v>46301.61373611111</v>
      </c>
      <c r="P73" s="6">
        <f t="shared" ca="1" si="6"/>
        <v>46302</v>
      </c>
      <c r="Q73" s="7">
        <f>DATEDIF(Sales_Data[[#This Row],[Customer_Since]],Sales_Data[[#This Row],[Date]],"d")</f>
        <v>593</v>
      </c>
      <c r="R73" s="8">
        <f t="shared" si="7"/>
        <v>45504</v>
      </c>
      <c r="S73" s="9" t="str">
        <f t="shared" si="8"/>
        <v>Jul-24</v>
      </c>
      <c r="T73" s="9">
        <f>COUNTIF(Sales_Data[Product_Name],F73)</f>
        <v>26</v>
      </c>
      <c r="U73" s="9">
        <f>COUNTIF(Sales_Data[Customer_ID],C73)</f>
        <v>5</v>
      </c>
      <c r="V73" s="9" t="str">
        <f t="shared" si="9"/>
        <v>FT</v>
      </c>
    </row>
    <row r="74" spans="1:22" ht="15.75" customHeight="1" x14ac:dyDescent="0.3">
      <c r="A74" s="2" t="s">
        <v>194</v>
      </c>
      <c r="B74" s="3">
        <v>45487</v>
      </c>
      <c r="C74" s="2" t="s">
        <v>192</v>
      </c>
      <c r="D74" s="2" t="s">
        <v>193</v>
      </c>
      <c r="E74" s="2" t="s">
        <v>126</v>
      </c>
      <c r="F74" s="2" t="s">
        <v>127</v>
      </c>
      <c r="G74" s="2" t="s">
        <v>46</v>
      </c>
      <c r="H74" s="2">
        <v>2</v>
      </c>
      <c r="I74" s="4">
        <v>199.99</v>
      </c>
      <c r="J74" s="2" t="s">
        <v>20</v>
      </c>
      <c r="K74" s="2" t="s">
        <v>40</v>
      </c>
      <c r="L74" s="2" t="s">
        <v>22</v>
      </c>
      <c r="M74" s="3">
        <v>44541</v>
      </c>
      <c r="N74" s="4">
        <v>399.98</v>
      </c>
      <c r="O74" s="5">
        <f t="shared" ca="1" si="5"/>
        <v>46301.61373611111</v>
      </c>
      <c r="P74" s="6">
        <f t="shared" ca="1" si="6"/>
        <v>46302</v>
      </c>
      <c r="Q74" s="7">
        <f>DATEDIF(Sales_Data[[#This Row],[Customer_Since]],Sales_Data[[#This Row],[Date]],"d")</f>
        <v>946</v>
      </c>
      <c r="R74" s="8">
        <f t="shared" si="7"/>
        <v>45504</v>
      </c>
      <c r="S74" s="9" t="str">
        <f t="shared" si="8"/>
        <v>Jul-24</v>
      </c>
      <c r="T74" s="9">
        <f>COUNTIF(Sales_Data[Product_Name],F74)</f>
        <v>15</v>
      </c>
      <c r="U74" s="9">
        <f>COUNTIF(Sales_Data[Customer_ID],C74)</f>
        <v>5</v>
      </c>
      <c r="V74" s="9" t="str">
        <f t="shared" si="9"/>
        <v>FT</v>
      </c>
    </row>
    <row r="75" spans="1:22" ht="15.75" customHeight="1" x14ac:dyDescent="0.3">
      <c r="A75" s="2" t="s">
        <v>195</v>
      </c>
      <c r="B75" s="3">
        <v>45490</v>
      </c>
      <c r="C75" s="2" t="s">
        <v>196</v>
      </c>
      <c r="D75" s="2" t="s">
        <v>197</v>
      </c>
      <c r="E75" s="2" t="s">
        <v>31</v>
      </c>
      <c r="F75" s="2" t="s">
        <v>32</v>
      </c>
      <c r="G75" s="2" t="s">
        <v>33</v>
      </c>
      <c r="H75" s="2">
        <v>3</v>
      </c>
      <c r="I75" s="4">
        <v>59.99</v>
      </c>
      <c r="J75" s="2" t="s">
        <v>26</v>
      </c>
      <c r="K75" s="2" t="s">
        <v>50</v>
      </c>
      <c r="L75" s="2" t="s">
        <v>22</v>
      </c>
      <c r="M75" s="3">
        <v>45130</v>
      </c>
      <c r="N75" s="4">
        <v>179.97</v>
      </c>
      <c r="O75" s="5">
        <f t="shared" ca="1" si="5"/>
        <v>46301.61373611111</v>
      </c>
      <c r="P75" s="6">
        <f t="shared" ca="1" si="6"/>
        <v>46302</v>
      </c>
      <c r="Q75" s="7">
        <f>DATEDIF(Sales_Data[[#This Row],[Customer_Since]],Sales_Data[[#This Row],[Date]],"d")</f>
        <v>360</v>
      </c>
      <c r="R75" s="8">
        <f t="shared" si="7"/>
        <v>45504</v>
      </c>
      <c r="S75" s="9" t="str">
        <f t="shared" si="8"/>
        <v>Jul-24</v>
      </c>
      <c r="T75" s="9">
        <f>COUNTIF(Sales_Data[Product_Name],F75)</f>
        <v>29</v>
      </c>
      <c r="U75" s="9">
        <f>COUNTIF(Sales_Data[Customer_ID],C75)</f>
        <v>4</v>
      </c>
      <c r="V75" s="9" t="str">
        <f t="shared" si="9"/>
        <v>GM</v>
      </c>
    </row>
    <row r="76" spans="1:22" ht="15.75" customHeight="1" x14ac:dyDescent="0.3">
      <c r="A76" s="2" t="s">
        <v>198</v>
      </c>
      <c r="B76" s="3">
        <v>45490</v>
      </c>
      <c r="C76" s="2" t="s">
        <v>72</v>
      </c>
      <c r="D76" s="2" t="s">
        <v>73</v>
      </c>
      <c r="E76" s="2" t="s">
        <v>44</v>
      </c>
      <c r="F76" s="2" t="s">
        <v>45</v>
      </c>
      <c r="G76" s="2" t="s">
        <v>46</v>
      </c>
      <c r="H76" s="2">
        <v>3</v>
      </c>
      <c r="I76" s="4">
        <v>149.99</v>
      </c>
      <c r="J76" s="2" t="s">
        <v>20</v>
      </c>
      <c r="K76" s="2" t="s">
        <v>21</v>
      </c>
      <c r="L76" s="2" t="s">
        <v>27</v>
      </c>
      <c r="M76" s="3">
        <v>45199</v>
      </c>
      <c r="N76" s="4">
        <v>449.97</v>
      </c>
      <c r="O76" s="5">
        <f t="shared" ca="1" si="5"/>
        <v>46301.61373611111</v>
      </c>
      <c r="P76" s="6">
        <f t="shared" ca="1" si="6"/>
        <v>46302</v>
      </c>
      <c r="Q76" s="7">
        <f>DATEDIF(Sales_Data[[#This Row],[Customer_Since]],Sales_Data[[#This Row],[Date]],"d")</f>
        <v>291</v>
      </c>
      <c r="R76" s="8">
        <f t="shared" si="7"/>
        <v>45504</v>
      </c>
      <c r="S76" s="9" t="str">
        <f t="shared" si="8"/>
        <v>Jul-24</v>
      </c>
      <c r="T76" s="9">
        <f>COUNTIF(Sales_Data[Product_Name],F76)</f>
        <v>35</v>
      </c>
      <c r="U76" s="9">
        <f>COUNTIF(Sales_Data[Customer_ID],C76)</f>
        <v>5</v>
      </c>
      <c r="V76" s="9" t="str">
        <f t="shared" si="9"/>
        <v>PR</v>
      </c>
    </row>
    <row r="77" spans="1:22" ht="15.75" customHeight="1" x14ac:dyDescent="0.3">
      <c r="A77" s="2" t="s">
        <v>199</v>
      </c>
      <c r="B77" s="3">
        <v>45491</v>
      </c>
      <c r="C77" s="2" t="s">
        <v>65</v>
      </c>
      <c r="D77" s="2" t="s">
        <v>66</v>
      </c>
      <c r="E77" s="2" t="s">
        <v>126</v>
      </c>
      <c r="F77" s="2" t="s">
        <v>127</v>
      </c>
      <c r="G77" s="2" t="s">
        <v>46</v>
      </c>
      <c r="H77" s="2">
        <v>3</v>
      </c>
      <c r="I77" s="4">
        <v>199.99</v>
      </c>
      <c r="J77" s="2" t="s">
        <v>20</v>
      </c>
      <c r="K77" s="2" t="s">
        <v>40</v>
      </c>
      <c r="L77" s="2" t="s">
        <v>27</v>
      </c>
      <c r="M77" s="3">
        <v>45254</v>
      </c>
      <c r="N77" s="4">
        <v>599.97</v>
      </c>
      <c r="O77" s="5">
        <f t="shared" ca="1" si="5"/>
        <v>46301.61373611111</v>
      </c>
      <c r="P77" s="6">
        <f t="shared" ca="1" si="6"/>
        <v>46302</v>
      </c>
      <c r="Q77" s="7">
        <f>DATEDIF(Sales_Data[[#This Row],[Customer_Since]],Sales_Data[[#This Row],[Date]],"d")</f>
        <v>237</v>
      </c>
      <c r="R77" s="8">
        <f t="shared" si="7"/>
        <v>45504</v>
      </c>
      <c r="S77" s="9" t="str">
        <f t="shared" si="8"/>
        <v>Jul-24</v>
      </c>
      <c r="T77" s="9">
        <f>COUNTIF(Sales_Data[Product_Name],F77)</f>
        <v>15</v>
      </c>
      <c r="U77" s="9">
        <f>COUNTIF(Sales_Data[Customer_ID],C77)</f>
        <v>8</v>
      </c>
      <c r="V77" s="9" t="str">
        <f t="shared" si="9"/>
        <v>KH</v>
      </c>
    </row>
    <row r="78" spans="1:22" ht="15.75" customHeight="1" x14ac:dyDescent="0.3">
      <c r="A78" s="2" t="s">
        <v>200</v>
      </c>
      <c r="B78" s="3">
        <v>45496</v>
      </c>
      <c r="C78" s="2" t="s">
        <v>150</v>
      </c>
      <c r="D78" s="2" t="s">
        <v>151</v>
      </c>
      <c r="E78" s="2" t="s">
        <v>61</v>
      </c>
      <c r="F78" s="2" t="s">
        <v>62</v>
      </c>
      <c r="G78" s="2" t="s">
        <v>19</v>
      </c>
      <c r="H78" s="2">
        <v>1</v>
      </c>
      <c r="I78" s="4">
        <v>899.99</v>
      </c>
      <c r="J78" s="2" t="s">
        <v>20</v>
      </c>
      <c r="K78" s="2" t="s">
        <v>21</v>
      </c>
      <c r="L78" s="2" t="s">
        <v>36</v>
      </c>
      <c r="M78" s="3">
        <v>45179</v>
      </c>
      <c r="N78" s="4">
        <v>899.99</v>
      </c>
      <c r="O78" s="5">
        <f t="shared" ca="1" si="5"/>
        <v>46301.61373611111</v>
      </c>
      <c r="P78" s="6">
        <f t="shared" ca="1" si="6"/>
        <v>46302</v>
      </c>
      <c r="Q78" s="7">
        <f>DATEDIF(Sales_Data[[#This Row],[Customer_Since]],Sales_Data[[#This Row],[Date]],"d")</f>
        <v>317</v>
      </c>
      <c r="R78" s="8">
        <f t="shared" si="7"/>
        <v>45504</v>
      </c>
      <c r="S78" s="9" t="str">
        <f t="shared" si="8"/>
        <v>Jul-24</v>
      </c>
      <c r="T78" s="9">
        <f>COUNTIF(Sales_Data[Product_Name],F78)</f>
        <v>24</v>
      </c>
      <c r="U78" s="9">
        <f>COUNTIF(Sales_Data[Customer_ID],C78)</f>
        <v>6</v>
      </c>
      <c r="V78" s="9" t="str">
        <f t="shared" si="9"/>
        <v>SB</v>
      </c>
    </row>
    <row r="79" spans="1:22" ht="15.75" customHeight="1" x14ac:dyDescent="0.3">
      <c r="A79" s="2" t="s">
        <v>201</v>
      </c>
      <c r="B79" s="3">
        <v>45497</v>
      </c>
      <c r="C79" s="2" t="s">
        <v>24</v>
      </c>
      <c r="D79" s="2" t="s">
        <v>25</v>
      </c>
      <c r="E79" s="2" t="s">
        <v>61</v>
      </c>
      <c r="F79" s="2" t="s">
        <v>62</v>
      </c>
      <c r="G79" s="2" t="s">
        <v>19</v>
      </c>
      <c r="H79" s="2">
        <v>5</v>
      </c>
      <c r="I79" s="4">
        <v>899.99</v>
      </c>
      <c r="J79" s="2" t="s">
        <v>57</v>
      </c>
      <c r="K79" s="2" t="s">
        <v>35</v>
      </c>
      <c r="L79" s="2" t="s">
        <v>36</v>
      </c>
      <c r="M79" s="3">
        <v>44899</v>
      </c>
      <c r="N79" s="4">
        <v>4499.95</v>
      </c>
      <c r="O79" s="5">
        <f t="shared" ca="1" si="5"/>
        <v>46301.61373611111</v>
      </c>
      <c r="P79" s="6">
        <f t="shared" ca="1" si="6"/>
        <v>46302</v>
      </c>
      <c r="Q79" s="7">
        <f>DATEDIF(Sales_Data[[#This Row],[Customer_Since]],Sales_Data[[#This Row],[Date]],"d")</f>
        <v>598</v>
      </c>
      <c r="R79" s="8">
        <f t="shared" si="7"/>
        <v>45504</v>
      </c>
      <c r="S79" s="9" t="str">
        <f t="shared" si="8"/>
        <v>Jul-24</v>
      </c>
      <c r="T79" s="9">
        <f>COUNTIF(Sales_Data[Product_Name],F79)</f>
        <v>24</v>
      </c>
      <c r="U79" s="9">
        <f>COUNTIF(Sales_Data[Customer_ID],C79)</f>
        <v>5</v>
      </c>
      <c r="V79" s="9" t="str">
        <f t="shared" si="9"/>
        <v>JJ</v>
      </c>
    </row>
    <row r="80" spans="1:22" ht="15.75" customHeight="1" x14ac:dyDescent="0.3">
      <c r="A80" s="2" t="s">
        <v>202</v>
      </c>
      <c r="B80" s="3">
        <v>45498</v>
      </c>
      <c r="C80" s="2" t="s">
        <v>182</v>
      </c>
      <c r="D80" s="2" t="s">
        <v>183</v>
      </c>
      <c r="E80" s="2" t="s">
        <v>31</v>
      </c>
      <c r="F80" s="2" t="s">
        <v>32</v>
      </c>
      <c r="G80" s="2" t="s">
        <v>33</v>
      </c>
      <c r="H80" s="2">
        <v>2</v>
      </c>
      <c r="I80" s="4">
        <v>59.99</v>
      </c>
      <c r="J80" s="2" t="s">
        <v>20</v>
      </c>
      <c r="K80" s="2" t="s">
        <v>40</v>
      </c>
      <c r="L80" s="2" t="s">
        <v>36</v>
      </c>
      <c r="M80" s="3">
        <v>45152</v>
      </c>
      <c r="N80" s="4">
        <v>119.98</v>
      </c>
      <c r="O80" s="5">
        <f t="shared" ca="1" si="5"/>
        <v>46301.61373611111</v>
      </c>
      <c r="P80" s="6">
        <f t="shared" ca="1" si="6"/>
        <v>46302</v>
      </c>
      <c r="Q80" s="7">
        <f>DATEDIF(Sales_Data[[#This Row],[Customer_Since]],Sales_Data[[#This Row],[Date]],"d")</f>
        <v>346</v>
      </c>
      <c r="R80" s="8">
        <f t="shared" si="7"/>
        <v>45504</v>
      </c>
      <c r="S80" s="9" t="str">
        <f t="shared" si="8"/>
        <v>Jul-24</v>
      </c>
      <c r="T80" s="9">
        <f>COUNTIF(Sales_Data[Product_Name],F80)</f>
        <v>29</v>
      </c>
      <c r="U80" s="9">
        <f>COUNTIF(Sales_Data[Customer_ID],C80)</f>
        <v>6</v>
      </c>
      <c r="V80" s="9" t="str">
        <f t="shared" si="9"/>
        <v>DM</v>
      </c>
    </row>
    <row r="81" spans="1:22" ht="15.75" customHeight="1" x14ac:dyDescent="0.3">
      <c r="A81" s="2" t="s">
        <v>203</v>
      </c>
      <c r="B81" s="3">
        <v>45498</v>
      </c>
      <c r="C81" s="2" t="s">
        <v>196</v>
      </c>
      <c r="D81" s="2" t="s">
        <v>197</v>
      </c>
      <c r="E81" s="2" t="s">
        <v>17</v>
      </c>
      <c r="F81" s="2" t="s">
        <v>18</v>
      </c>
      <c r="G81" s="2" t="s">
        <v>19</v>
      </c>
      <c r="H81" s="2">
        <v>4</v>
      </c>
      <c r="I81" s="4">
        <v>249.99</v>
      </c>
      <c r="J81" s="2" t="s">
        <v>57</v>
      </c>
      <c r="K81" s="2" t="s">
        <v>21</v>
      </c>
      <c r="L81" s="2" t="s">
        <v>36</v>
      </c>
      <c r="M81" s="3">
        <v>45127</v>
      </c>
      <c r="N81" s="4">
        <v>999.96</v>
      </c>
      <c r="O81" s="5">
        <f t="shared" ca="1" si="5"/>
        <v>46301.61373611111</v>
      </c>
      <c r="P81" s="6">
        <f t="shared" ca="1" si="6"/>
        <v>46302</v>
      </c>
      <c r="Q81" s="7">
        <f>DATEDIF(Sales_Data[[#This Row],[Customer_Since]],Sales_Data[[#This Row],[Date]],"d")</f>
        <v>371</v>
      </c>
      <c r="R81" s="8">
        <f t="shared" si="7"/>
        <v>45504</v>
      </c>
      <c r="S81" s="9" t="str">
        <f t="shared" si="8"/>
        <v>Jul-24</v>
      </c>
      <c r="T81" s="9">
        <f>COUNTIF(Sales_Data[Product_Name],F81)</f>
        <v>26</v>
      </c>
      <c r="U81" s="9">
        <f>COUNTIF(Sales_Data[Customer_ID],C81)</f>
        <v>4</v>
      </c>
      <c r="V81" s="9" t="str">
        <f t="shared" si="9"/>
        <v>GM</v>
      </c>
    </row>
    <row r="82" spans="1:22" ht="15.75" customHeight="1" x14ac:dyDescent="0.3">
      <c r="A82" s="2" t="s">
        <v>204</v>
      </c>
      <c r="B82" s="3">
        <v>45500</v>
      </c>
      <c r="C82" s="2" t="s">
        <v>96</v>
      </c>
      <c r="D82" s="2" t="s">
        <v>97</v>
      </c>
      <c r="E82" s="2" t="s">
        <v>17</v>
      </c>
      <c r="F82" s="2" t="s">
        <v>18</v>
      </c>
      <c r="G82" s="2" t="s">
        <v>19</v>
      </c>
      <c r="H82" s="2">
        <v>2</v>
      </c>
      <c r="I82" s="4">
        <v>249.99</v>
      </c>
      <c r="J82" s="2" t="s">
        <v>20</v>
      </c>
      <c r="K82" s="2" t="s">
        <v>40</v>
      </c>
      <c r="L82" s="2" t="s">
        <v>27</v>
      </c>
      <c r="M82" s="3">
        <v>45164</v>
      </c>
      <c r="N82" s="4">
        <v>499.98</v>
      </c>
      <c r="O82" s="5">
        <f t="shared" ca="1" si="5"/>
        <v>46301.61373611111</v>
      </c>
      <c r="P82" s="6">
        <f t="shared" ca="1" si="6"/>
        <v>46302</v>
      </c>
      <c r="Q82" s="7">
        <f>DATEDIF(Sales_Data[[#This Row],[Customer_Since]],Sales_Data[[#This Row],[Date]],"d")</f>
        <v>336</v>
      </c>
      <c r="R82" s="8">
        <f t="shared" si="7"/>
        <v>45504</v>
      </c>
      <c r="S82" s="9" t="str">
        <f t="shared" si="8"/>
        <v>Jul-24</v>
      </c>
      <c r="T82" s="9">
        <f>COUNTIF(Sales_Data[Product_Name],F82)</f>
        <v>26</v>
      </c>
      <c r="U82" s="9">
        <f>COUNTIF(Sales_Data[Customer_ID],C82)</f>
        <v>5</v>
      </c>
      <c r="V82" s="9" t="str">
        <f t="shared" si="9"/>
        <v>BY</v>
      </c>
    </row>
    <row r="83" spans="1:22" ht="15.75" customHeight="1" x14ac:dyDescent="0.3">
      <c r="A83" s="2" t="s">
        <v>205</v>
      </c>
      <c r="B83" s="3">
        <v>45500</v>
      </c>
      <c r="C83" s="2" t="s">
        <v>147</v>
      </c>
      <c r="D83" s="2" t="s">
        <v>148</v>
      </c>
      <c r="E83" s="2" t="s">
        <v>105</v>
      </c>
      <c r="F83" s="2" t="s">
        <v>106</v>
      </c>
      <c r="G83" s="2" t="s">
        <v>46</v>
      </c>
      <c r="H83" s="2">
        <v>1</v>
      </c>
      <c r="I83" s="4">
        <v>299.99</v>
      </c>
      <c r="J83" s="2" t="s">
        <v>20</v>
      </c>
      <c r="K83" s="2" t="s">
        <v>35</v>
      </c>
      <c r="L83" s="2" t="s">
        <v>22</v>
      </c>
      <c r="M83" s="3">
        <v>44982</v>
      </c>
      <c r="N83" s="4">
        <v>299.99</v>
      </c>
      <c r="O83" s="5">
        <f t="shared" ca="1" si="5"/>
        <v>46301.61373611111</v>
      </c>
      <c r="P83" s="6">
        <f t="shared" ca="1" si="6"/>
        <v>46302</v>
      </c>
      <c r="Q83" s="7">
        <f>DATEDIF(Sales_Data[[#This Row],[Customer_Since]],Sales_Data[[#This Row],[Date]],"d")</f>
        <v>518</v>
      </c>
      <c r="R83" s="8">
        <f t="shared" si="7"/>
        <v>45504</v>
      </c>
      <c r="S83" s="9" t="str">
        <f t="shared" si="8"/>
        <v>Jul-24</v>
      </c>
      <c r="T83" s="9">
        <f>COUNTIF(Sales_Data[Product_Name],F83)</f>
        <v>26</v>
      </c>
      <c r="U83" s="9">
        <f>COUNTIF(Sales_Data[Customer_ID],C83)</f>
        <v>7</v>
      </c>
      <c r="V83" s="9" t="str">
        <f t="shared" si="9"/>
        <v>DK</v>
      </c>
    </row>
    <row r="84" spans="1:22" ht="15.75" customHeight="1" x14ac:dyDescent="0.3">
      <c r="A84" s="2" t="s">
        <v>206</v>
      </c>
      <c r="B84" s="3">
        <v>45501</v>
      </c>
      <c r="C84" s="2" t="s">
        <v>86</v>
      </c>
      <c r="D84" s="2" t="s">
        <v>87</v>
      </c>
      <c r="E84" s="2" t="s">
        <v>117</v>
      </c>
      <c r="F84" s="2" t="s">
        <v>118</v>
      </c>
      <c r="G84" s="2" t="s">
        <v>19</v>
      </c>
      <c r="H84" s="2">
        <v>2</v>
      </c>
      <c r="I84" s="4">
        <v>89.99</v>
      </c>
      <c r="J84" s="2" t="s">
        <v>34</v>
      </c>
      <c r="K84" s="2" t="s">
        <v>35</v>
      </c>
      <c r="L84" s="2" t="s">
        <v>22</v>
      </c>
      <c r="M84" s="3">
        <v>44976</v>
      </c>
      <c r="N84" s="4">
        <v>179.98</v>
      </c>
      <c r="O84" s="5">
        <f t="shared" ca="1" si="5"/>
        <v>46301.61373611111</v>
      </c>
      <c r="P84" s="6">
        <f t="shared" ca="1" si="6"/>
        <v>46302</v>
      </c>
      <c r="Q84" s="7">
        <f>DATEDIF(Sales_Data[[#This Row],[Customer_Since]],Sales_Data[[#This Row],[Date]],"d")</f>
        <v>525</v>
      </c>
      <c r="R84" s="8">
        <f t="shared" si="7"/>
        <v>45504</v>
      </c>
      <c r="S84" s="9" t="str">
        <f t="shared" si="8"/>
        <v>Jul-24</v>
      </c>
      <c r="T84" s="9">
        <f>COUNTIF(Sales_Data[Product_Name],F84)</f>
        <v>34</v>
      </c>
      <c r="U84" s="9">
        <f>COUNTIF(Sales_Data[Customer_ID],C84)</f>
        <v>12</v>
      </c>
      <c r="V84" s="9" t="str">
        <f t="shared" si="9"/>
        <v>MC</v>
      </c>
    </row>
    <row r="85" spans="1:22" ht="15.75" customHeight="1" x14ac:dyDescent="0.3">
      <c r="A85" s="2" t="s">
        <v>207</v>
      </c>
      <c r="B85" s="3">
        <v>45501</v>
      </c>
      <c r="C85" s="2" t="s">
        <v>147</v>
      </c>
      <c r="D85" s="2" t="s">
        <v>148</v>
      </c>
      <c r="E85" s="2" t="s">
        <v>105</v>
      </c>
      <c r="F85" s="2" t="s">
        <v>106</v>
      </c>
      <c r="G85" s="2" t="s">
        <v>46</v>
      </c>
      <c r="H85" s="2">
        <v>3</v>
      </c>
      <c r="I85" s="4">
        <v>299.99</v>
      </c>
      <c r="J85" s="2" t="s">
        <v>20</v>
      </c>
      <c r="K85" s="2" t="s">
        <v>21</v>
      </c>
      <c r="L85" s="2" t="s">
        <v>22</v>
      </c>
      <c r="M85" s="3">
        <v>44732</v>
      </c>
      <c r="N85" s="4">
        <v>899.97</v>
      </c>
      <c r="O85" s="5">
        <f t="shared" ca="1" si="5"/>
        <v>46301.61373611111</v>
      </c>
      <c r="P85" s="6">
        <f t="shared" ca="1" si="6"/>
        <v>46302</v>
      </c>
      <c r="Q85" s="7">
        <f>DATEDIF(Sales_Data[[#This Row],[Customer_Since]],Sales_Data[[#This Row],[Date]],"d")</f>
        <v>769</v>
      </c>
      <c r="R85" s="8">
        <f t="shared" si="7"/>
        <v>45504</v>
      </c>
      <c r="S85" s="9" t="str">
        <f t="shared" si="8"/>
        <v>Jul-24</v>
      </c>
      <c r="T85" s="9">
        <f>COUNTIF(Sales_Data[Product_Name],F85)</f>
        <v>26</v>
      </c>
      <c r="U85" s="9">
        <f>COUNTIF(Sales_Data[Customer_ID],C85)</f>
        <v>7</v>
      </c>
      <c r="V85" s="9" t="str">
        <f t="shared" si="9"/>
        <v>DK</v>
      </c>
    </row>
    <row r="86" spans="1:22" ht="15.75" customHeight="1" x14ac:dyDescent="0.3">
      <c r="A86" s="2" t="s">
        <v>208</v>
      </c>
      <c r="B86" s="3">
        <v>45503</v>
      </c>
      <c r="C86" s="2" t="s">
        <v>86</v>
      </c>
      <c r="D86" s="2" t="s">
        <v>87</v>
      </c>
      <c r="E86" s="2" t="s">
        <v>80</v>
      </c>
      <c r="F86" s="2" t="s">
        <v>81</v>
      </c>
      <c r="G86" s="2" t="s">
        <v>19</v>
      </c>
      <c r="H86" s="2">
        <v>2</v>
      </c>
      <c r="I86" s="4">
        <v>699.99</v>
      </c>
      <c r="J86" s="2" t="s">
        <v>26</v>
      </c>
      <c r="K86" s="2" t="s">
        <v>40</v>
      </c>
      <c r="L86" s="2" t="s">
        <v>27</v>
      </c>
      <c r="M86" s="3">
        <v>44999</v>
      </c>
      <c r="N86" s="4">
        <v>1399.98</v>
      </c>
      <c r="O86" s="5">
        <f t="shared" ca="1" si="5"/>
        <v>46301.61373611111</v>
      </c>
      <c r="P86" s="6">
        <f t="shared" ca="1" si="6"/>
        <v>46302</v>
      </c>
      <c r="Q86" s="7">
        <f>DATEDIF(Sales_Data[[#This Row],[Customer_Since]],Sales_Data[[#This Row],[Date]],"d")</f>
        <v>504</v>
      </c>
      <c r="R86" s="8">
        <f t="shared" si="7"/>
        <v>45504</v>
      </c>
      <c r="S86" s="9" t="str">
        <f t="shared" si="8"/>
        <v>Jul-24</v>
      </c>
      <c r="T86" s="9">
        <f>COUNTIF(Sales_Data[Product_Name],F86)</f>
        <v>31</v>
      </c>
      <c r="U86" s="9">
        <f>COUNTIF(Sales_Data[Customer_ID],C86)</f>
        <v>12</v>
      </c>
      <c r="V86" s="9" t="str">
        <f t="shared" si="9"/>
        <v>MC</v>
      </c>
    </row>
    <row r="87" spans="1:22" ht="15.75" customHeight="1" x14ac:dyDescent="0.3">
      <c r="A87" s="2" t="s">
        <v>209</v>
      </c>
      <c r="B87" s="3">
        <v>45504</v>
      </c>
      <c r="C87" s="2" t="s">
        <v>120</v>
      </c>
      <c r="D87" s="2" t="s">
        <v>121</v>
      </c>
      <c r="E87" s="2" t="s">
        <v>61</v>
      </c>
      <c r="F87" s="2" t="s">
        <v>62</v>
      </c>
      <c r="G87" s="2" t="s">
        <v>19</v>
      </c>
      <c r="H87" s="2">
        <v>4</v>
      </c>
      <c r="I87" s="4">
        <v>899.99</v>
      </c>
      <c r="J87" s="2" t="s">
        <v>57</v>
      </c>
      <c r="K87" s="2" t="s">
        <v>35</v>
      </c>
      <c r="L87" s="2" t="s">
        <v>36</v>
      </c>
      <c r="M87" s="3">
        <v>44523</v>
      </c>
      <c r="N87" s="4">
        <v>3599.96</v>
      </c>
      <c r="O87" s="5">
        <f t="shared" ca="1" si="5"/>
        <v>46301.61373611111</v>
      </c>
      <c r="P87" s="6">
        <f t="shared" ca="1" si="6"/>
        <v>46302</v>
      </c>
      <c r="Q87" s="7">
        <f>DATEDIF(Sales_Data[[#This Row],[Customer_Since]],Sales_Data[[#This Row],[Date]],"d")</f>
        <v>981</v>
      </c>
      <c r="R87" s="8">
        <f t="shared" si="7"/>
        <v>45504</v>
      </c>
      <c r="S87" s="9" t="str">
        <f t="shared" si="8"/>
        <v>Jul-24</v>
      </c>
      <c r="T87" s="9">
        <f>COUNTIF(Sales_Data[Product_Name],F87)</f>
        <v>24</v>
      </c>
      <c r="U87" s="9">
        <f>COUNTIF(Sales_Data[Customer_ID],C87)</f>
        <v>7</v>
      </c>
      <c r="V87" s="9" t="str">
        <f t="shared" si="9"/>
        <v>HR</v>
      </c>
    </row>
    <row r="88" spans="1:22" ht="15.75" customHeight="1" x14ac:dyDescent="0.3">
      <c r="A88" s="2" t="s">
        <v>210</v>
      </c>
      <c r="B88" s="3">
        <v>45509</v>
      </c>
      <c r="C88" s="2" t="s">
        <v>211</v>
      </c>
      <c r="D88" s="2" t="s">
        <v>212</v>
      </c>
      <c r="E88" s="2" t="s">
        <v>44</v>
      </c>
      <c r="F88" s="2" t="s">
        <v>45</v>
      </c>
      <c r="G88" s="2" t="s">
        <v>46</v>
      </c>
      <c r="H88" s="2">
        <v>2</v>
      </c>
      <c r="I88" s="4">
        <v>149.99</v>
      </c>
      <c r="J88" s="2" t="s">
        <v>26</v>
      </c>
      <c r="K88" s="2" t="s">
        <v>50</v>
      </c>
      <c r="L88" s="2" t="s">
        <v>22</v>
      </c>
      <c r="M88" s="3">
        <v>44542</v>
      </c>
      <c r="N88" s="4">
        <v>299.98</v>
      </c>
      <c r="O88" s="5">
        <f t="shared" ca="1" si="5"/>
        <v>46301.61373611111</v>
      </c>
      <c r="P88" s="6">
        <f t="shared" ca="1" si="6"/>
        <v>46302</v>
      </c>
      <c r="Q88" s="7">
        <f>DATEDIF(Sales_Data[[#This Row],[Customer_Since]],Sales_Data[[#This Row],[Date]],"d")</f>
        <v>967</v>
      </c>
      <c r="R88" s="8">
        <f t="shared" si="7"/>
        <v>45535</v>
      </c>
      <c r="S88" s="9" t="str">
        <f t="shared" si="8"/>
        <v>Aug-24</v>
      </c>
      <c r="T88" s="9">
        <f>COUNTIF(Sales_Data[Product_Name],F88)</f>
        <v>35</v>
      </c>
      <c r="U88" s="9">
        <f>COUNTIF(Sales_Data[Customer_ID],C88)</f>
        <v>4</v>
      </c>
      <c r="V88" s="9" t="str">
        <f t="shared" si="9"/>
        <v>EH</v>
      </c>
    </row>
    <row r="89" spans="1:22" ht="15.75" customHeight="1" x14ac:dyDescent="0.3">
      <c r="A89" s="2" t="s">
        <v>213</v>
      </c>
      <c r="B89" s="3">
        <v>45510</v>
      </c>
      <c r="C89" s="2" t="s">
        <v>102</v>
      </c>
      <c r="D89" s="2" t="s">
        <v>103</v>
      </c>
      <c r="E89" s="2" t="s">
        <v>44</v>
      </c>
      <c r="F89" s="2" t="s">
        <v>45</v>
      </c>
      <c r="G89" s="2" t="s">
        <v>46</v>
      </c>
      <c r="H89" s="2">
        <v>2</v>
      </c>
      <c r="I89" s="4">
        <v>149.99</v>
      </c>
      <c r="J89" s="2" t="s">
        <v>57</v>
      </c>
      <c r="K89" s="2" t="s">
        <v>63</v>
      </c>
      <c r="L89" s="2" t="s">
        <v>36</v>
      </c>
      <c r="M89" s="3">
        <v>44667</v>
      </c>
      <c r="N89" s="4">
        <v>299.98</v>
      </c>
      <c r="O89" s="5">
        <f t="shared" ca="1" si="5"/>
        <v>46301.61373611111</v>
      </c>
      <c r="P89" s="6">
        <f t="shared" ca="1" si="6"/>
        <v>46302</v>
      </c>
      <c r="Q89" s="7">
        <f>DATEDIF(Sales_Data[[#This Row],[Customer_Since]],Sales_Data[[#This Row],[Date]],"d")</f>
        <v>843</v>
      </c>
      <c r="R89" s="8">
        <f t="shared" si="7"/>
        <v>45535</v>
      </c>
      <c r="S89" s="9" t="str">
        <f t="shared" si="8"/>
        <v>Aug-24</v>
      </c>
      <c r="T89" s="9">
        <f>COUNTIF(Sales_Data[Product_Name],F89)</f>
        <v>35</v>
      </c>
      <c r="U89" s="9">
        <f>COUNTIF(Sales_Data[Customer_ID],C89)</f>
        <v>5</v>
      </c>
      <c r="V89" s="9" t="str">
        <f t="shared" si="9"/>
        <v>CP</v>
      </c>
    </row>
    <row r="90" spans="1:22" ht="15.75" customHeight="1" x14ac:dyDescent="0.3">
      <c r="A90" s="2" t="s">
        <v>214</v>
      </c>
      <c r="B90" s="3">
        <v>45513</v>
      </c>
      <c r="C90" s="2" t="s">
        <v>89</v>
      </c>
      <c r="D90" s="2" t="s">
        <v>90</v>
      </c>
      <c r="E90" s="2" t="s">
        <v>117</v>
      </c>
      <c r="F90" s="2" t="s">
        <v>118</v>
      </c>
      <c r="G90" s="2" t="s">
        <v>19</v>
      </c>
      <c r="H90" s="2">
        <v>1</v>
      </c>
      <c r="I90" s="4">
        <v>89.99</v>
      </c>
      <c r="J90" s="2" t="s">
        <v>26</v>
      </c>
      <c r="K90" s="2" t="s">
        <v>40</v>
      </c>
      <c r="L90" s="2" t="s">
        <v>36</v>
      </c>
      <c r="M90" s="3">
        <v>45393</v>
      </c>
      <c r="N90" s="4">
        <v>89.99</v>
      </c>
      <c r="O90" s="5">
        <f t="shared" ca="1" si="5"/>
        <v>46301.61373611111</v>
      </c>
      <c r="P90" s="6">
        <f t="shared" ca="1" si="6"/>
        <v>46302</v>
      </c>
      <c r="Q90" s="7">
        <f>DATEDIF(Sales_Data[[#This Row],[Customer_Since]],Sales_Data[[#This Row],[Date]],"d")</f>
        <v>120</v>
      </c>
      <c r="R90" s="8">
        <f t="shared" si="7"/>
        <v>45535</v>
      </c>
      <c r="S90" s="9" t="str">
        <f t="shared" si="8"/>
        <v>Aug-24</v>
      </c>
      <c r="T90" s="9">
        <f>COUNTIF(Sales_Data[Product_Name],F90)</f>
        <v>34</v>
      </c>
      <c r="U90" s="9">
        <f>COUNTIF(Sales_Data[Customer_ID],C90)</f>
        <v>4</v>
      </c>
      <c r="V90" s="9" t="str">
        <f t="shared" si="9"/>
        <v>MG</v>
      </c>
    </row>
    <row r="91" spans="1:22" ht="15.75" customHeight="1" x14ac:dyDescent="0.3">
      <c r="A91" s="2" t="s">
        <v>215</v>
      </c>
      <c r="B91" s="3">
        <v>45515</v>
      </c>
      <c r="C91" s="2" t="s">
        <v>86</v>
      </c>
      <c r="D91" s="2" t="s">
        <v>87</v>
      </c>
      <c r="E91" s="2" t="s">
        <v>105</v>
      </c>
      <c r="F91" s="2" t="s">
        <v>106</v>
      </c>
      <c r="G91" s="2" t="s">
        <v>46</v>
      </c>
      <c r="H91" s="2">
        <v>5</v>
      </c>
      <c r="I91" s="4">
        <v>299.99</v>
      </c>
      <c r="J91" s="2" t="s">
        <v>26</v>
      </c>
      <c r="K91" s="2" t="s">
        <v>40</v>
      </c>
      <c r="L91" s="2" t="s">
        <v>22</v>
      </c>
      <c r="M91" s="3">
        <v>44965</v>
      </c>
      <c r="N91" s="4">
        <v>1499.95</v>
      </c>
      <c r="O91" s="5">
        <f t="shared" ca="1" si="5"/>
        <v>46301.61373611111</v>
      </c>
      <c r="P91" s="6">
        <f t="shared" ca="1" si="6"/>
        <v>46302</v>
      </c>
      <c r="Q91" s="7">
        <f>DATEDIF(Sales_Data[[#This Row],[Customer_Since]],Sales_Data[[#This Row],[Date]],"d")</f>
        <v>550</v>
      </c>
      <c r="R91" s="8">
        <f t="shared" si="7"/>
        <v>45535</v>
      </c>
      <c r="S91" s="9" t="str">
        <f t="shared" si="8"/>
        <v>Aug-24</v>
      </c>
      <c r="T91" s="9">
        <f>COUNTIF(Sales_Data[Product_Name],F91)</f>
        <v>26</v>
      </c>
      <c r="U91" s="9">
        <f>COUNTIF(Sales_Data[Customer_ID],C91)</f>
        <v>12</v>
      </c>
      <c r="V91" s="9" t="str">
        <f t="shared" si="9"/>
        <v>MC</v>
      </c>
    </row>
    <row r="92" spans="1:22" ht="15.75" customHeight="1" x14ac:dyDescent="0.3">
      <c r="A92" s="2" t="s">
        <v>216</v>
      </c>
      <c r="B92" s="3">
        <v>45517</v>
      </c>
      <c r="C92" s="2" t="s">
        <v>182</v>
      </c>
      <c r="D92" s="2" t="s">
        <v>183</v>
      </c>
      <c r="E92" s="2" t="s">
        <v>52</v>
      </c>
      <c r="F92" s="2" t="s">
        <v>53</v>
      </c>
      <c r="G92" s="2" t="s">
        <v>19</v>
      </c>
      <c r="H92" s="2">
        <v>4</v>
      </c>
      <c r="I92" s="4">
        <v>149.99</v>
      </c>
      <c r="J92" s="2" t="s">
        <v>57</v>
      </c>
      <c r="K92" s="2" t="s">
        <v>35</v>
      </c>
      <c r="L92" s="2" t="s">
        <v>27</v>
      </c>
      <c r="M92" s="3">
        <v>44820</v>
      </c>
      <c r="N92" s="4">
        <v>599.96</v>
      </c>
      <c r="O92" s="5">
        <f t="shared" ca="1" si="5"/>
        <v>46301.61373611111</v>
      </c>
      <c r="P92" s="6">
        <f t="shared" ca="1" si="6"/>
        <v>46302</v>
      </c>
      <c r="Q92" s="7">
        <f>DATEDIF(Sales_Data[[#This Row],[Customer_Since]],Sales_Data[[#This Row],[Date]],"d")</f>
        <v>697</v>
      </c>
      <c r="R92" s="8">
        <f t="shared" si="7"/>
        <v>45535</v>
      </c>
      <c r="S92" s="9" t="str">
        <f t="shared" si="8"/>
        <v>Aug-24</v>
      </c>
      <c r="T92" s="9">
        <f>COUNTIF(Sales_Data[Product_Name],F92)</f>
        <v>16</v>
      </c>
      <c r="U92" s="9">
        <f>COUNTIF(Sales_Data[Customer_ID],C92)</f>
        <v>6</v>
      </c>
      <c r="V92" s="9" t="str">
        <f t="shared" si="9"/>
        <v>DM</v>
      </c>
    </row>
    <row r="93" spans="1:22" ht="15.75" customHeight="1" x14ac:dyDescent="0.3">
      <c r="A93" s="2" t="s">
        <v>217</v>
      </c>
      <c r="B93" s="3">
        <v>45517</v>
      </c>
      <c r="C93" s="2" t="s">
        <v>185</v>
      </c>
      <c r="D93" s="2" t="s">
        <v>186</v>
      </c>
      <c r="E93" s="2" t="s">
        <v>17</v>
      </c>
      <c r="F93" s="2" t="s">
        <v>18</v>
      </c>
      <c r="G93" s="2" t="s">
        <v>19</v>
      </c>
      <c r="H93" s="2">
        <v>5</v>
      </c>
      <c r="I93" s="4">
        <v>249.99</v>
      </c>
      <c r="J93" s="2" t="s">
        <v>34</v>
      </c>
      <c r="K93" s="2" t="s">
        <v>63</v>
      </c>
      <c r="L93" s="2" t="s">
        <v>27</v>
      </c>
      <c r="M93" s="3">
        <v>44782</v>
      </c>
      <c r="N93" s="4">
        <v>1249.95</v>
      </c>
      <c r="O93" s="5">
        <f t="shared" ca="1" si="5"/>
        <v>46301.61373611111</v>
      </c>
      <c r="P93" s="6">
        <f t="shared" ca="1" si="6"/>
        <v>46302</v>
      </c>
      <c r="Q93" s="7">
        <f>DATEDIF(Sales_Data[[#This Row],[Customer_Since]],Sales_Data[[#This Row],[Date]],"d")</f>
        <v>735</v>
      </c>
      <c r="R93" s="8">
        <f t="shared" si="7"/>
        <v>45535</v>
      </c>
      <c r="S93" s="9" t="str">
        <f t="shared" si="8"/>
        <v>Aug-24</v>
      </c>
      <c r="T93" s="9">
        <f>COUNTIF(Sales_Data[Product_Name],F93)</f>
        <v>26</v>
      </c>
      <c r="U93" s="9">
        <f>COUNTIF(Sales_Data[Customer_ID],C93)</f>
        <v>4</v>
      </c>
      <c r="V93" s="9" t="str">
        <f t="shared" si="9"/>
        <v>MW</v>
      </c>
    </row>
    <row r="94" spans="1:22" ht="15.75" customHeight="1" x14ac:dyDescent="0.3">
      <c r="A94" s="2" t="s">
        <v>218</v>
      </c>
      <c r="B94" s="3">
        <v>45517</v>
      </c>
      <c r="C94" s="2" t="s">
        <v>65</v>
      </c>
      <c r="D94" s="2" t="s">
        <v>66</v>
      </c>
      <c r="E94" s="2" t="s">
        <v>17</v>
      </c>
      <c r="F94" s="2" t="s">
        <v>18</v>
      </c>
      <c r="G94" s="2" t="s">
        <v>19</v>
      </c>
      <c r="H94" s="2">
        <v>3</v>
      </c>
      <c r="I94" s="4">
        <v>249.99</v>
      </c>
      <c r="J94" s="2" t="s">
        <v>34</v>
      </c>
      <c r="K94" s="2" t="s">
        <v>40</v>
      </c>
      <c r="L94" s="2" t="s">
        <v>27</v>
      </c>
      <c r="M94" s="3">
        <v>44465</v>
      </c>
      <c r="N94" s="4">
        <v>749.97</v>
      </c>
      <c r="O94" s="5">
        <f t="shared" ca="1" si="5"/>
        <v>46301.61373611111</v>
      </c>
      <c r="P94" s="6">
        <f t="shared" ca="1" si="6"/>
        <v>46302</v>
      </c>
      <c r="Q94" s="7">
        <f>DATEDIF(Sales_Data[[#This Row],[Customer_Since]],Sales_Data[[#This Row],[Date]],"d")</f>
        <v>1052</v>
      </c>
      <c r="R94" s="8">
        <f t="shared" si="7"/>
        <v>45535</v>
      </c>
      <c r="S94" s="9" t="str">
        <f t="shared" si="8"/>
        <v>Aug-24</v>
      </c>
      <c r="T94" s="9">
        <f>COUNTIF(Sales_Data[Product_Name],F94)</f>
        <v>26</v>
      </c>
      <c r="U94" s="9">
        <f>COUNTIF(Sales_Data[Customer_ID],C94)</f>
        <v>8</v>
      </c>
      <c r="V94" s="9" t="str">
        <f t="shared" si="9"/>
        <v>KH</v>
      </c>
    </row>
    <row r="95" spans="1:22" ht="15.75" customHeight="1" x14ac:dyDescent="0.3">
      <c r="A95" s="2" t="s">
        <v>219</v>
      </c>
      <c r="B95" s="3">
        <v>45517</v>
      </c>
      <c r="C95" s="2" t="s">
        <v>38</v>
      </c>
      <c r="D95" s="2" t="s">
        <v>39</v>
      </c>
      <c r="E95" s="2" t="s">
        <v>126</v>
      </c>
      <c r="F95" s="2" t="s">
        <v>127</v>
      </c>
      <c r="G95" s="2" t="s">
        <v>46</v>
      </c>
      <c r="H95" s="2">
        <v>4</v>
      </c>
      <c r="I95" s="4">
        <v>199.99</v>
      </c>
      <c r="J95" s="2" t="s">
        <v>20</v>
      </c>
      <c r="K95" s="2" t="s">
        <v>40</v>
      </c>
      <c r="L95" s="2" t="s">
        <v>36</v>
      </c>
      <c r="M95" s="3">
        <v>44458</v>
      </c>
      <c r="N95" s="4">
        <v>799.96</v>
      </c>
      <c r="O95" s="5">
        <f t="shared" ca="1" si="5"/>
        <v>46301.61373611111</v>
      </c>
      <c r="P95" s="6">
        <f t="shared" ca="1" si="6"/>
        <v>46302</v>
      </c>
      <c r="Q95" s="7">
        <f>DATEDIF(Sales_Data[[#This Row],[Customer_Since]],Sales_Data[[#This Row],[Date]],"d")</f>
        <v>1059</v>
      </c>
      <c r="R95" s="8">
        <f t="shared" si="7"/>
        <v>45535</v>
      </c>
      <c r="S95" s="9" t="str">
        <f t="shared" si="8"/>
        <v>Aug-24</v>
      </c>
      <c r="T95" s="9">
        <f>COUNTIF(Sales_Data[Product_Name],F95)</f>
        <v>15</v>
      </c>
      <c r="U95" s="9">
        <f>COUNTIF(Sales_Data[Customer_ID],C95)</f>
        <v>6</v>
      </c>
      <c r="V95" s="9" t="str">
        <f t="shared" si="9"/>
        <v>KB</v>
      </c>
    </row>
    <row r="96" spans="1:22" ht="15.75" customHeight="1" x14ac:dyDescent="0.3">
      <c r="A96" s="2" t="s">
        <v>220</v>
      </c>
      <c r="B96" s="3">
        <v>45519</v>
      </c>
      <c r="C96" s="2" t="s">
        <v>158</v>
      </c>
      <c r="D96" s="2" t="s">
        <v>159</v>
      </c>
      <c r="E96" s="2" t="s">
        <v>126</v>
      </c>
      <c r="F96" s="2" t="s">
        <v>127</v>
      </c>
      <c r="G96" s="2" t="s">
        <v>46</v>
      </c>
      <c r="H96" s="2">
        <v>5</v>
      </c>
      <c r="I96" s="4">
        <v>199.99</v>
      </c>
      <c r="J96" s="2" t="s">
        <v>20</v>
      </c>
      <c r="K96" s="2" t="s">
        <v>40</v>
      </c>
      <c r="L96" s="2" t="s">
        <v>27</v>
      </c>
      <c r="M96" s="3">
        <v>44991</v>
      </c>
      <c r="N96" s="4">
        <v>999.95</v>
      </c>
      <c r="O96" s="5">
        <f t="shared" ca="1" si="5"/>
        <v>46301.61373611111</v>
      </c>
      <c r="P96" s="6">
        <f t="shared" ca="1" si="6"/>
        <v>46302</v>
      </c>
      <c r="Q96" s="7">
        <f>DATEDIF(Sales_Data[[#This Row],[Customer_Since]],Sales_Data[[#This Row],[Date]],"d")</f>
        <v>528</v>
      </c>
      <c r="R96" s="8">
        <f t="shared" si="7"/>
        <v>45535</v>
      </c>
      <c r="S96" s="9" t="str">
        <f t="shared" si="8"/>
        <v>Aug-24</v>
      </c>
      <c r="T96" s="9">
        <f>COUNTIF(Sales_Data[Product_Name],F96)</f>
        <v>15</v>
      </c>
      <c r="U96" s="9">
        <f>COUNTIF(Sales_Data[Customer_ID],C96)</f>
        <v>5</v>
      </c>
      <c r="V96" s="9" t="str">
        <f t="shared" si="9"/>
        <v>BC</v>
      </c>
    </row>
    <row r="97" spans="1:22" ht="15.75" customHeight="1" x14ac:dyDescent="0.3">
      <c r="A97" s="2" t="s">
        <v>221</v>
      </c>
      <c r="B97" s="3">
        <v>45522</v>
      </c>
      <c r="C97" s="2" t="s">
        <v>86</v>
      </c>
      <c r="D97" s="2" t="s">
        <v>87</v>
      </c>
      <c r="E97" s="2" t="s">
        <v>117</v>
      </c>
      <c r="F97" s="2" t="s">
        <v>118</v>
      </c>
      <c r="G97" s="2" t="s">
        <v>19</v>
      </c>
      <c r="H97" s="2">
        <v>2</v>
      </c>
      <c r="I97" s="4">
        <v>89.99</v>
      </c>
      <c r="J97" s="2" t="s">
        <v>20</v>
      </c>
      <c r="K97" s="2" t="s">
        <v>63</v>
      </c>
      <c r="L97" s="2" t="s">
        <v>27</v>
      </c>
      <c r="M97" s="3">
        <v>44972</v>
      </c>
      <c r="N97" s="4">
        <v>179.98</v>
      </c>
      <c r="O97" s="5">
        <f t="shared" ca="1" si="5"/>
        <v>46301.61373611111</v>
      </c>
      <c r="P97" s="6">
        <f t="shared" ca="1" si="6"/>
        <v>46302</v>
      </c>
      <c r="Q97" s="7">
        <f>DATEDIF(Sales_Data[[#This Row],[Customer_Since]],Sales_Data[[#This Row],[Date]],"d")</f>
        <v>550</v>
      </c>
      <c r="R97" s="8">
        <f t="shared" si="7"/>
        <v>45535</v>
      </c>
      <c r="S97" s="9" t="str">
        <f t="shared" si="8"/>
        <v>Aug-24</v>
      </c>
      <c r="T97" s="9">
        <f>COUNTIF(Sales_Data[Product_Name],F97)</f>
        <v>34</v>
      </c>
      <c r="U97" s="9">
        <f>COUNTIF(Sales_Data[Customer_ID],C97)</f>
        <v>12</v>
      </c>
      <c r="V97" s="9" t="str">
        <f t="shared" si="9"/>
        <v>MC</v>
      </c>
    </row>
    <row r="98" spans="1:22" ht="15.75" customHeight="1" x14ac:dyDescent="0.3">
      <c r="A98" s="2" t="s">
        <v>222</v>
      </c>
      <c r="B98" s="3">
        <v>45523</v>
      </c>
      <c r="C98" s="2" t="s">
        <v>196</v>
      </c>
      <c r="D98" s="2" t="s">
        <v>197</v>
      </c>
      <c r="E98" s="2" t="s">
        <v>61</v>
      </c>
      <c r="F98" s="2" t="s">
        <v>62</v>
      </c>
      <c r="G98" s="2" t="s">
        <v>19</v>
      </c>
      <c r="H98" s="2">
        <v>5</v>
      </c>
      <c r="I98" s="4">
        <v>899.99</v>
      </c>
      <c r="J98" s="2" t="s">
        <v>57</v>
      </c>
      <c r="K98" s="2" t="s">
        <v>63</v>
      </c>
      <c r="L98" s="2" t="s">
        <v>22</v>
      </c>
      <c r="M98" s="3">
        <v>44526</v>
      </c>
      <c r="N98" s="4">
        <v>4499.95</v>
      </c>
      <c r="O98" s="5">
        <f t="shared" ca="1" si="5"/>
        <v>46301.61373611111</v>
      </c>
      <c r="P98" s="6">
        <f t="shared" ca="1" si="6"/>
        <v>46302</v>
      </c>
      <c r="Q98" s="7">
        <f>DATEDIF(Sales_Data[[#This Row],[Customer_Since]],Sales_Data[[#This Row],[Date]],"d")</f>
        <v>997</v>
      </c>
      <c r="R98" s="8">
        <f t="shared" si="7"/>
        <v>45535</v>
      </c>
      <c r="S98" s="9" t="str">
        <f t="shared" si="8"/>
        <v>Aug-24</v>
      </c>
      <c r="T98" s="9">
        <f>COUNTIF(Sales_Data[Product_Name],F98)</f>
        <v>24</v>
      </c>
      <c r="U98" s="9">
        <f>COUNTIF(Sales_Data[Customer_ID],C98)</f>
        <v>4</v>
      </c>
      <c r="V98" s="9" t="str">
        <f t="shared" si="9"/>
        <v>GM</v>
      </c>
    </row>
    <row r="99" spans="1:22" ht="15.75" customHeight="1" x14ac:dyDescent="0.3">
      <c r="A99" s="2" t="s">
        <v>223</v>
      </c>
      <c r="B99" s="3">
        <v>45523</v>
      </c>
      <c r="C99" s="2" t="s">
        <v>108</v>
      </c>
      <c r="D99" s="2" t="s">
        <v>109</v>
      </c>
      <c r="E99" s="2" t="s">
        <v>52</v>
      </c>
      <c r="F99" s="2" t="s">
        <v>53</v>
      </c>
      <c r="G99" s="2" t="s">
        <v>19</v>
      </c>
      <c r="H99" s="2">
        <v>3</v>
      </c>
      <c r="I99" s="4">
        <v>149.99</v>
      </c>
      <c r="J99" s="2" t="s">
        <v>34</v>
      </c>
      <c r="K99" s="2" t="s">
        <v>63</v>
      </c>
      <c r="L99" s="2" t="s">
        <v>22</v>
      </c>
      <c r="M99" s="3">
        <v>44574</v>
      </c>
      <c r="N99" s="4">
        <v>449.97</v>
      </c>
      <c r="O99" s="5">
        <f t="shared" ca="1" si="5"/>
        <v>46301.61373611111</v>
      </c>
      <c r="P99" s="6">
        <f t="shared" ca="1" si="6"/>
        <v>46302</v>
      </c>
      <c r="Q99" s="7">
        <f>DATEDIF(Sales_Data[[#This Row],[Customer_Since]],Sales_Data[[#This Row],[Date]],"d")</f>
        <v>949</v>
      </c>
      <c r="R99" s="8">
        <f t="shared" si="7"/>
        <v>45535</v>
      </c>
      <c r="S99" s="9" t="str">
        <f t="shared" si="8"/>
        <v>Aug-24</v>
      </c>
      <c r="T99" s="9">
        <f>COUNTIF(Sales_Data[Product_Name],F99)</f>
        <v>16</v>
      </c>
      <c r="U99" s="9">
        <f>COUNTIF(Sales_Data[Customer_ID],C99)</f>
        <v>6</v>
      </c>
      <c r="V99" s="9" t="str">
        <f t="shared" si="9"/>
        <v>NC</v>
      </c>
    </row>
    <row r="100" spans="1:22" ht="15.75" customHeight="1" x14ac:dyDescent="0.3">
      <c r="A100" s="2" t="s">
        <v>224</v>
      </c>
      <c r="B100" s="3">
        <v>45526</v>
      </c>
      <c r="C100" s="2" t="s">
        <v>102</v>
      </c>
      <c r="D100" s="2" t="s">
        <v>103</v>
      </c>
      <c r="E100" s="2" t="s">
        <v>44</v>
      </c>
      <c r="F100" s="2" t="s">
        <v>45</v>
      </c>
      <c r="G100" s="2" t="s">
        <v>46</v>
      </c>
      <c r="H100" s="2">
        <v>5</v>
      </c>
      <c r="I100" s="4">
        <v>149.99</v>
      </c>
      <c r="J100" s="2" t="s">
        <v>26</v>
      </c>
      <c r="K100" s="2" t="s">
        <v>21</v>
      </c>
      <c r="L100" s="2" t="s">
        <v>22</v>
      </c>
      <c r="M100" s="3">
        <v>45310</v>
      </c>
      <c r="N100" s="4">
        <v>749.95</v>
      </c>
      <c r="O100" s="5">
        <f t="shared" ca="1" si="5"/>
        <v>46301.61373611111</v>
      </c>
      <c r="P100" s="6">
        <f t="shared" ca="1" si="6"/>
        <v>46302</v>
      </c>
      <c r="Q100" s="7">
        <f>DATEDIF(Sales_Data[[#This Row],[Customer_Since]],Sales_Data[[#This Row],[Date]],"d")</f>
        <v>216</v>
      </c>
      <c r="R100" s="8">
        <f t="shared" si="7"/>
        <v>45535</v>
      </c>
      <c r="S100" s="9" t="str">
        <f t="shared" si="8"/>
        <v>Aug-24</v>
      </c>
      <c r="T100" s="9">
        <f>COUNTIF(Sales_Data[Product_Name],F100)</f>
        <v>35</v>
      </c>
      <c r="U100" s="9">
        <f>COUNTIF(Sales_Data[Customer_ID],C100)</f>
        <v>5</v>
      </c>
      <c r="V100" s="9" t="str">
        <f t="shared" si="9"/>
        <v>CP</v>
      </c>
    </row>
    <row r="101" spans="1:22" ht="15.75" customHeight="1" x14ac:dyDescent="0.3">
      <c r="A101" s="2" t="s">
        <v>225</v>
      </c>
      <c r="B101" s="3">
        <v>45528</v>
      </c>
      <c r="C101" s="2" t="s">
        <v>226</v>
      </c>
      <c r="D101" s="2" t="s">
        <v>227</v>
      </c>
      <c r="E101" s="2" t="s">
        <v>114</v>
      </c>
      <c r="F101" s="2" t="s">
        <v>115</v>
      </c>
      <c r="G101" s="2" t="s">
        <v>33</v>
      </c>
      <c r="H101" s="2">
        <v>3</v>
      </c>
      <c r="I101" s="4">
        <v>79.989999999999995</v>
      </c>
      <c r="J101" s="2" t="s">
        <v>20</v>
      </c>
      <c r="K101" s="2" t="s">
        <v>21</v>
      </c>
      <c r="L101" s="2" t="s">
        <v>27</v>
      </c>
      <c r="M101" s="3">
        <v>44779</v>
      </c>
      <c r="N101" s="4">
        <v>239.97</v>
      </c>
      <c r="O101" s="5">
        <f t="shared" ca="1" si="5"/>
        <v>46301.61373611111</v>
      </c>
      <c r="P101" s="6">
        <f t="shared" ca="1" si="6"/>
        <v>46302</v>
      </c>
      <c r="Q101" s="7">
        <f>DATEDIF(Sales_Data[[#This Row],[Customer_Since]],Sales_Data[[#This Row],[Date]],"d")</f>
        <v>749</v>
      </c>
      <c r="R101" s="8">
        <f t="shared" si="7"/>
        <v>45535</v>
      </c>
      <c r="S101" s="9" t="str">
        <f t="shared" si="8"/>
        <v>Aug-24</v>
      </c>
      <c r="T101" s="9">
        <f>COUNTIF(Sales_Data[Product_Name],F101)</f>
        <v>14</v>
      </c>
      <c r="U101" s="9">
        <f>COUNTIF(Sales_Data[Customer_ID],C101)</f>
        <v>8</v>
      </c>
      <c r="V101" s="9" t="str">
        <f t="shared" si="9"/>
        <v>LR</v>
      </c>
    </row>
    <row r="102" spans="1:22" ht="15.75" customHeight="1" x14ac:dyDescent="0.3">
      <c r="A102" s="2" t="s">
        <v>228</v>
      </c>
      <c r="B102" s="3">
        <v>45528</v>
      </c>
      <c r="C102" s="2" t="s">
        <v>144</v>
      </c>
      <c r="D102" s="2" t="s">
        <v>145</v>
      </c>
      <c r="E102" s="2" t="s">
        <v>17</v>
      </c>
      <c r="F102" s="2" t="s">
        <v>18</v>
      </c>
      <c r="G102" s="2" t="s">
        <v>19</v>
      </c>
      <c r="H102" s="2">
        <v>2</v>
      </c>
      <c r="I102" s="4">
        <v>249.99</v>
      </c>
      <c r="J102" s="2" t="s">
        <v>20</v>
      </c>
      <c r="K102" s="2" t="s">
        <v>35</v>
      </c>
      <c r="L102" s="2" t="s">
        <v>36</v>
      </c>
      <c r="M102" s="3">
        <v>44572</v>
      </c>
      <c r="N102" s="4">
        <v>499.98</v>
      </c>
      <c r="O102" s="5">
        <f t="shared" ca="1" si="5"/>
        <v>46301.61373611111</v>
      </c>
      <c r="P102" s="6">
        <f t="shared" ca="1" si="6"/>
        <v>46302</v>
      </c>
      <c r="Q102" s="7">
        <f>DATEDIF(Sales_Data[[#This Row],[Customer_Since]],Sales_Data[[#This Row],[Date]],"d")</f>
        <v>956</v>
      </c>
      <c r="R102" s="8">
        <f t="shared" si="7"/>
        <v>45535</v>
      </c>
      <c r="S102" s="9" t="str">
        <f t="shared" si="8"/>
        <v>Aug-24</v>
      </c>
      <c r="T102" s="9">
        <f>COUNTIF(Sales_Data[Product_Name],F102)</f>
        <v>26</v>
      </c>
      <c r="U102" s="9">
        <f>COUNTIF(Sales_Data[Customer_ID],C102)</f>
        <v>4</v>
      </c>
      <c r="V102" s="9" t="str">
        <f t="shared" si="9"/>
        <v>HM</v>
      </c>
    </row>
    <row r="103" spans="1:22" ht="15.75" customHeight="1" x14ac:dyDescent="0.3">
      <c r="A103" s="2" t="s">
        <v>229</v>
      </c>
      <c r="B103" s="3">
        <v>45532</v>
      </c>
      <c r="C103" s="2" t="s">
        <v>196</v>
      </c>
      <c r="D103" s="2" t="s">
        <v>197</v>
      </c>
      <c r="E103" s="2" t="s">
        <v>80</v>
      </c>
      <c r="F103" s="2" t="s">
        <v>81</v>
      </c>
      <c r="G103" s="2" t="s">
        <v>19</v>
      </c>
      <c r="H103" s="2">
        <v>1</v>
      </c>
      <c r="I103" s="4">
        <v>699.99</v>
      </c>
      <c r="J103" s="2" t="s">
        <v>20</v>
      </c>
      <c r="K103" s="2" t="s">
        <v>21</v>
      </c>
      <c r="L103" s="2" t="s">
        <v>27</v>
      </c>
      <c r="M103" s="3">
        <v>44497</v>
      </c>
      <c r="N103" s="4">
        <v>699.99</v>
      </c>
      <c r="O103" s="5">
        <f t="shared" ca="1" si="5"/>
        <v>46301.61373611111</v>
      </c>
      <c r="P103" s="6">
        <f t="shared" ca="1" si="6"/>
        <v>46302</v>
      </c>
      <c r="Q103" s="7">
        <f>DATEDIF(Sales_Data[[#This Row],[Customer_Since]],Sales_Data[[#This Row],[Date]],"d")</f>
        <v>1035</v>
      </c>
      <c r="R103" s="8">
        <f t="shared" si="7"/>
        <v>45535</v>
      </c>
      <c r="S103" s="9" t="str">
        <f t="shared" si="8"/>
        <v>Aug-24</v>
      </c>
      <c r="T103" s="9">
        <f>COUNTIF(Sales_Data[Product_Name],F103)</f>
        <v>31</v>
      </c>
      <c r="U103" s="9">
        <f>COUNTIF(Sales_Data[Customer_ID],C103)</f>
        <v>4</v>
      </c>
      <c r="V103" s="9" t="str">
        <f t="shared" si="9"/>
        <v>GM</v>
      </c>
    </row>
    <row r="104" spans="1:22" ht="15.75" customHeight="1" x14ac:dyDescent="0.3">
      <c r="A104" s="2" t="s">
        <v>230</v>
      </c>
      <c r="B104" s="3">
        <v>45532</v>
      </c>
      <c r="C104" s="2" t="s">
        <v>231</v>
      </c>
      <c r="D104" s="2" t="s">
        <v>232</v>
      </c>
      <c r="E104" s="2" t="s">
        <v>52</v>
      </c>
      <c r="F104" s="2" t="s">
        <v>53</v>
      </c>
      <c r="G104" s="2" t="s">
        <v>19</v>
      </c>
      <c r="H104" s="2">
        <v>3</v>
      </c>
      <c r="I104" s="4">
        <v>149.99</v>
      </c>
      <c r="J104" s="2" t="s">
        <v>20</v>
      </c>
      <c r="K104" s="2" t="s">
        <v>50</v>
      </c>
      <c r="L104" s="2" t="s">
        <v>27</v>
      </c>
      <c r="M104" s="3">
        <v>45212</v>
      </c>
      <c r="N104" s="4">
        <v>449.97</v>
      </c>
      <c r="O104" s="5">
        <f t="shared" ca="1" si="5"/>
        <v>46301.61373611111</v>
      </c>
      <c r="P104" s="6">
        <f t="shared" ca="1" si="6"/>
        <v>46302</v>
      </c>
      <c r="Q104" s="7">
        <f>DATEDIF(Sales_Data[[#This Row],[Customer_Since]],Sales_Data[[#This Row],[Date]],"d")</f>
        <v>320</v>
      </c>
      <c r="R104" s="8">
        <f t="shared" si="7"/>
        <v>45535</v>
      </c>
      <c r="S104" s="9" t="str">
        <f t="shared" si="8"/>
        <v>Aug-24</v>
      </c>
      <c r="T104" s="9">
        <f>COUNTIF(Sales_Data[Product_Name],F104)</f>
        <v>16</v>
      </c>
      <c r="U104" s="9">
        <f>COUNTIF(Sales_Data[Customer_ID],C104)</f>
        <v>3</v>
      </c>
      <c r="V104" s="9" t="str">
        <f t="shared" si="9"/>
        <v>CE</v>
      </c>
    </row>
    <row r="105" spans="1:22" ht="15.75" customHeight="1" x14ac:dyDescent="0.3">
      <c r="A105" s="2" t="s">
        <v>233</v>
      </c>
      <c r="B105" s="3">
        <v>45534</v>
      </c>
      <c r="C105" s="2" t="s">
        <v>234</v>
      </c>
      <c r="D105" s="2" t="s">
        <v>235</v>
      </c>
      <c r="E105" s="2" t="s">
        <v>80</v>
      </c>
      <c r="F105" s="2" t="s">
        <v>81</v>
      </c>
      <c r="G105" s="2" t="s">
        <v>19</v>
      </c>
      <c r="H105" s="2">
        <v>2</v>
      </c>
      <c r="I105" s="4">
        <v>699.99</v>
      </c>
      <c r="J105" s="2" t="s">
        <v>26</v>
      </c>
      <c r="K105" s="2" t="s">
        <v>40</v>
      </c>
      <c r="L105" s="2" t="s">
        <v>27</v>
      </c>
      <c r="M105" s="3">
        <v>44421</v>
      </c>
      <c r="N105" s="4">
        <v>1399.98</v>
      </c>
      <c r="O105" s="5">
        <f t="shared" ca="1" si="5"/>
        <v>46301.61373611111</v>
      </c>
      <c r="P105" s="6">
        <f t="shared" ca="1" si="6"/>
        <v>46302</v>
      </c>
      <c r="Q105" s="7">
        <f>DATEDIF(Sales_Data[[#This Row],[Customer_Since]],Sales_Data[[#This Row],[Date]],"d")</f>
        <v>1113</v>
      </c>
      <c r="R105" s="8">
        <f t="shared" si="7"/>
        <v>45535</v>
      </c>
      <c r="S105" s="9" t="str">
        <f t="shared" si="8"/>
        <v>Aug-24</v>
      </c>
      <c r="T105" s="9">
        <f>COUNTIF(Sales_Data[Product_Name],F105)</f>
        <v>31</v>
      </c>
      <c r="U105" s="9">
        <f>COUNTIF(Sales_Data[Customer_ID],C105)</f>
        <v>5</v>
      </c>
      <c r="V105" s="9" t="str">
        <f t="shared" si="9"/>
        <v>SP</v>
      </c>
    </row>
    <row r="106" spans="1:22" ht="15.75" customHeight="1" x14ac:dyDescent="0.3">
      <c r="A106" s="2" t="s">
        <v>236</v>
      </c>
      <c r="B106" s="3">
        <v>45537</v>
      </c>
      <c r="C106" s="2" t="s">
        <v>231</v>
      </c>
      <c r="D106" s="2" t="s">
        <v>232</v>
      </c>
      <c r="E106" s="2" t="s">
        <v>17</v>
      </c>
      <c r="F106" s="2" t="s">
        <v>18</v>
      </c>
      <c r="G106" s="2" t="s">
        <v>19</v>
      </c>
      <c r="H106" s="2">
        <v>1</v>
      </c>
      <c r="I106" s="4">
        <v>249.99</v>
      </c>
      <c r="J106" s="2" t="s">
        <v>26</v>
      </c>
      <c r="K106" s="2" t="s">
        <v>50</v>
      </c>
      <c r="L106" s="2" t="s">
        <v>27</v>
      </c>
      <c r="M106" s="3">
        <v>44685</v>
      </c>
      <c r="N106" s="4">
        <v>249.99</v>
      </c>
      <c r="O106" s="5">
        <f t="shared" ca="1" si="5"/>
        <v>46301.61373611111</v>
      </c>
      <c r="P106" s="6">
        <f t="shared" ca="1" si="6"/>
        <v>46302</v>
      </c>
      <c r="Q106" s="7">
        <f>DATEDIF(Sales_Data[[#This Row],[Customer_Since]],Sales_Data[[#This Row],[Date]],"d")</f>
        <v>852</v>
      </c>
      <c r="R106" s="8">
        <f t="shared" si="7"/>
        <v>45565</v>
      </c>
      <c r="S106" s="9" t="str">
        <f t="shared" si="8"/>
        <v>Sep-24</v>
      </c>
      <c r="T106" s="9">
        <f>COUNTIF(Sales_Data[Product_Name],F106)</f>
        <v>26</v>
      </c>
      <c r="U106" s="9">
        <f>COUNTIF(Sales_Data[Customer_ID],C106)</f>
        <v>3</v>
      </c>
      <c r="V106" s="9" t="str">
        <f t="shared" si="9"/>
        <v>CE</v>
      </c>
    </row>
    <row r="107" spans="1:22" ht="15.75" customHeight="1" x14ac:dyDescent="0.3">
      <c r="A107" s="2" t="s">
        <v>237</v>
      </c>
      <c r="B107" s="3">
        <v>45537</v>
      </c>
      <c r="C107" s="2" t="s">
        <v>15</v>
      </c>
      <c r="D107" s="2" t="s">
        <v>16</v>
      </c>
      <c r="E107" s="2" t="s">
        <v>17</v>
      </c>
      <c r="F107" s="2" t="s">
        <v>18</v>
      </c>
      <c r="G107" s="2" t="s">
        <v>19</v>
      </c>
      <c r="H107" s="2">
        <v>1</v>
      </c>
      <c r="I107" s="4">
        <v>249.99</v>
      </c>
      <c r="J107" s="2" t="s">
        <v>57</v>
      </c>
      <c r="K107" s="2" t="s">
        <v>40</v>
      </c>
      <c r="L107" s="2" t="s">
        <v>27</v>
      </c>
      <c r="M107" s="3">
        <v>45332</v>
      </c>
      <c r="N107" s="4">
        <v>249.99</v>
      </c>
      <c r="O107" s="5">
        <f t="shared" ca="1" si="5"/>
        <v>46301.61373611111</v>
      </c>
      <c r="P107" s="6">
        <f t="shared" ca="1" si="6"/>
        <v>46302</v>
      </c>
      <c r="Q107" s="7">
        <f>DATEDIF(Sales_Data[[#This Row],[Customer_Since]],Sales_Data[[#This Row],[Date]],"d")</f>
        <v>205</v>
      </c>
      <c r="R107" s="8">
        <f t="shared" si="7"/>
        <v>45565</v>
      </c>
      <c r="S107" s="9" t="str">
        <f t="shared" si="8"/>
        <v>Sep-24</v>
      </c>
      <c r="T107" s="9">
        <f>COUNTIF(Sales_Data[Product_Name],F107)</f>
        <v>26</v>
      </c>
      <c r="U107" s="9">
        <f>COUNTIF(Sales_Data[Customer_ID],C107)</f>
        <v>8</v>
      </c>
      <c r="V107" s="9" t="str">
        <f t="shared" si="9"/>
        <v>PB</v>
      </c>
    </row>
    <row r="108" spans="1:22" ht="15.75" customHeight="1" x14ac:dyDescent="0.3">
      <c r="A108" s="2" t="s">
        <v>238</v>
      </c>
      <c r="B108" s="3">
        <v>45538</v>
      </c>
      <c r="C108" s="2" t="s">
        <v>226</v>
      </c>
      <c r="D108" s="2" t="s">
        <v>227</v>
      </c>
      <c r="E108" s="2" t="s">
        <v>80</v>
      </c>
      <c r="F108" s="2" t="s">
        <v>81</v>
      </c>
      <c r="G108" s="2" t="s">
        <v>19</v>
      </c>
      <c r="H108" s="2">
        <v>2</v>
      </c>
      <c r="I108" s="4">
        <v>699.99</v>
      </c>
      <c r="J108" s="2" t="s">
        <v>57</v>
      </c>
      <c r="K108" s="2" t="s">
        <v>21</v>
      </c>
      <c r="L108" s="2" t="s">
        <v>27</v>
      </c>
      <c r="M108" s="3">
        <v>44870</v>
      </c>
      <c r="N108" s="4">
        <v>1399.98</v>
      </c>
      <c r="O108" s="5">
        <f t="shared" ca="1" si="5"/>
        <v>46301.61373611111</v>
      </c>
      <c r="P108" s="6">
        <f t="shared" ca="1" si="6"/>
        <v>46302</v>
      </c>
      <c r="Q108" s="7">
        <f>DATEDIF(Sales_Data[[#This Row],[Customer_Since]],Sales_Data[[#This Row],[Date]],"d")</f>
        <v>668</v>
      </c>
      <c r="R108" s="8">
        <f t="shared" si="7"/>
        <v>45565</v>
      </c>
      <c r="S108" s="9" t="str">
        <f t="shared" si="8"/>
        <v>Sep-24</v>
      </c>
      <c r="T108" s="9">
        <f>COUNTIF(Sales_Data[Product_Name],F108)</f>
        <v>31</v>
      </c>
      <c r="U108" s="9">
        <f>COUNTIF(Sales_Data[Customer_ID],C108)</f>
        <v>8</v>
      </c>
      <c r="V108" s="9" t="str">
        <f t="shared" si="9"/>
        <v>LR</v>
      </c>
    </row>
    <row r="109" spans="1:22" ht="15.75" customHeight="1" x14ac:dyDescent="0.3">
      <c r="A109" s="2" t="s">
        <v>239</v>
      </c>
      <c r="B109" s="3">
        <v>45541</v>
      </c>
      <c r="C109" s="2" t="s">
        <v>138</v>
      </c>
      <c r="D109" s="2" t="s">
        <v>139</v>
      </c>
      <c r="E109" s="2" t="s">
        <v>31</v>
      </c>
      <c r="F109" s="2" t="s">
        <v>32</v>
      </c>
      <c r="G109" s="2" t="s">
        <v>33</v>
      </c>
      <c r="H109" s="2">
        <v>3</v>
      </c>
      <c r="I109" s="4">
        <v>59.99</v>
      </c>
      <c r="J109" s="2" t="s">
        <v>26</v>
      </c>
      <c r="K109" s="2" t="s">
        <v>21</v>
      </c>
      <c r="L109" s="2" t="s">
        <v>27</v>
      </c>
      <c r="M109" s="3">
        <v>44717</v>
      </c>
      <c r="N109" s="4">
        <v>179.97</v>
      </c>
      <c r="O109" s="5">
        <f t="shared" ca="1" si="5"/>
        <v>46301.61373611111</v>
      </c>
      <c r="P109" s="6">
        <f t="shared" ca="1" si="6"/>
        <v>46302</v>
      </c>
      <c r="Q109" s="7">
        <f>DATEDIF(Sales_Data[[#This Row],[Customer_Since]],Sales_Data[[#This Row],[Date]],"d")</f>
        <v>824</v>
      </c>
      <c r="R109" s="8">
        <f t="shared" si="7"/>
        <v>45565</v>
      </c>
      <c r="S109" s="9" t="str">
        <f t="shared" si="8"/>
        <v>Sep-24</v>
      </c>
      <c r="T109" s="9">
        <f>COUNTIF(Sales_Data[Product_Name],F109)</f>
        <v>29</v>
      </c>
      <c r="U109" s="9">
        <f>COUNTIF(Sales_Data[Customer_ID],C109)</f>
        <v>6</v>
      </c>
      <c r="V109" s="9" t="str">
        <f t="shared" si="9"/>
        <v>ST</v>
      </c>
    </row>
    <row r="110" spans="1:22" ht="15.75" customHeight="1" x14ac:dyDescent="0.3">
      <c r="A110" s="2" t="s">
        <v>240</v>
      </c>
      <c r="B110" s="3">
        <v>45544</v>
      </c>
      <c r="C110" s="2" t="s">
        <v>132</v>
      </c>
      <c r="D110" s="2" t="s">
        <v>133</v>
      </c>
      <c r="E110" s="2" t="s">
        <v>31</v>
      </c>
      <c r="F110" s="2" t="s">
        <v>32</v>
      </c>
      <c r="G110" s="2" t="s">
        <v>33</v>
      </c>
      <c r="H110" s="2">
        <v>3</v>
      </c>
      <c r="I110" s="4">
        <v>59.99</v>
      </c>
      <c r="J110" s="2" t="s">
        <v>34</v>
      </c>
      <c r="K110" s="2" t="s">
        <v>63</v>
      </c>
      <c r="L110" s="2" t="s">
        <v>36</v>
      </c>
      <c r="M110" s="3">
        <v>44748</v>
      </c>
      <c r="N110" s="4">
        <v>179.97</v>
      </c>
      <c r="O110" s="5">
        <f t="shared" ca="1" si="5"/>
        <v>46301.61373611111</v>
      </c>
      <c r="P110" s="6">
        <f t="shared" ca="1" si="6"/>
        <v>46302</v>
      </c>
      <c r="Q110" s="7">
        <f>DATEDIF(Sales_Data[[#This Row],[Customer_Since]],Sales_Data[[#This Row],[Date]],"d")</f>
        <v>796</v>
      </c>
      <c r="R110" s="8">
        <f t="shared" si="7"/>
        <v>45565</v>
      </c>
      <c r="S110" s="9" t="str">
        <f t="shared" si="8"/>
        <v>Sep-24</v>
      </c>
      <c r="T110" s="9">
        <f>COUNTIF(Sales_Data[Product_Name],F110)</f>
        <v>29</v>
      </c>
      <c r="U110" s="9">
        <f>COUNTIF(Sales_Data[Customer_ID],C110)</f>
        <v>5</v>
      </c>
      <c r="V110" s="9" t="str">
        <f t="shared" si="9"/>
        <v>EW</v>
      </c>
    </row>
    <row r="111" spans="1:22" ht="15.75" customHeight="1" x14ac:dyDescent="0.3">
      <c r="A111" s="2" t="s">
        <v>241</v>
      </c>
      <c r="B111" s="3">
        <v>45544</v>
      </c>
      <c r="C111" s="2" t="s">
        <v>141</v>
      </c>
      <c r="D111" s="2" t="s">
        <v>142</v>
      </c>
      <c r="E111" s="2" t="s">
        <v>114</v>
      </c>
      <c r="F111" s="2" t="s">
        <v>115</v>
      </c>
      <c r="G111" s="2" t="s">
        <v>33</v>
      </c>
      <c r="H111" s="2">
        <v>4</v>
      </c>
      <c r="I111" s="4">
        <v>79.989999999999995</v>
      </c>
      <c r="J111" s="2" t="s">
        <v>20</v>
      </c>
      <c r="K111" s="2" t="s">
        <v>40</v>
      </c>
      <c r="L111" s="2" t="s">
        <v>22</v>
      </c>
      <c r="M111" s="3">
        <v>44530</v>
      </c>
      <c r="N111" s="4">
        <v>319.95999999999998</v>
      </c>
      <c r="O111" s="5">
        <f t="shared" ca="1" si="5"/>
        <v>46301.61373611111</v>
      </c>
      <c r="P111" s="6">
        <f t="shared" ca="1" si="6"/>
        <v>46302</v>
      </c>
      <c r="Q111" s="7">
        <f>DATEDIF(Sales_Data[[#This Row],[Customer_Since]],Sales_Data[[#This Row],[Date]],"d")</f>
        <v>1014</v>
      </c>
      <c r="R111" s="8">
        <f t="shared" si="7"/>
        <v>45565</v>
      </c>
      <c r="S111" s="9" t="str">
        <f t="shared" si="8"/>
        <v>Sep-24</v>
      </c>
      <c r="T111" s="9">
        <f>COUNTIF(Sales_Data[Product_Name],F111)</f>
        <v>14</v>
      </c>
      <c r="U111" s="9">
        <f>COUNTIF(Sales_Data[Customer_ID],C111)</f>
        <v>4</v>
      </c>
      <c r="V111" s="9" t="str">
        <f t="shared" si="9"/>
        <v>JT</v>
      </c>
    </row>
    <row r="112" spans="1:22" ht="15.75" customHeight="1" x14ac:dyDescent="0.3">
      <c r="A112" s="2" t="s">
        <v>242</v>
      </c>
      <c r="B112" s="3">
        <v>45545</v>
      </c>
      <c r="C112" s="2" t="s">
        <v>55</v>
      </c>
      <c r="D112" s="2" t="s">
        <v>56</v>
      </c>
      <c r="E112" s="2" t="s">
        <v>114</v>
      </c>
      <c r="F112" s="2" t="s">
        <v>115</v>
      </c>
      <c r="G112" s="2" t="s">
        <v>33</v>
      </c>
      <c r="H112" s="2">
        <v>1</v>
      </c>
      <c r="I112" s="4">
        <v>79.989999999999995</v>
      </c>
      <c r="J112" s="2" t="s">
        <v>20</v>
      </c>
      <c r="K112" s="2" t="s">
        <v>50</v>
      </c>
      <c r="L112" s="2" t="s">
        <v>22</v>
      </c>
      <c r="M112" s="3">
        <v>44693</v>
      </c>
      <c r="N112" s="4">
        <v>79.989999999999995</v>
      </c>
      <c r="O112" s="5">
        <f t="shared" ca="1" si="5"/>
        <v>46301.61373611111</v>
      </c>
      <c r="P112" s="6">
        <f t="shared" ca="1" si="6"/>
        <v>46302</v>
      </c>
      <c r="Q112" s="7">
        <f>DATEDIF(Sales_Data[[#This Row],[Customer_Since]],Sales_Data[[#This Row],[Date]],"d")</f>
        <v>852</v>
      </c>
      <c r="R112" s="8">
        <f t="shared" si="7"/>
        <v>45565</v>
      </c>
      <c r="S112" s="9" t="str">
        <f t="shared" si="8"/>
        <v>Sep-24</v>
      </c>
      <c r="T112" s="9">
        <f>COUNTIF(Sales_Data[Product_Name],F112)</f>
        <v>14</v>
      </c>
      <c r="U112" s="9">
        <f>COUNTIF(Sales_Data[Customer_ID],C112)</f>
        <v>9</v>
      </c>
      <c r="V112" s="9" t="str">
        <f t="shared" si="9"/>
        <v>CA</v>
      </c>
    </row>
    <row r="113" spans="1:22" ht="15.75" customHeight="1" x14ac:dyDescent="0.3">
      <c r="A113" s="2" t="s">
        <v>243</v>
      </c>
      <c r="B113" s="3">
        <v>45547</v>
      </c>
      <c r="C113" s="2" t="s">
        <v>48</v>
      </c>
      <c r="D113" s="2" t="s">
        <v>49</v>
      </c>
      <c r="E113" s="2" t="s">
        <v>105</v>
      </c>
      <c r="F113" s="2" t="s">
        <v>106</v>
      </c>
      <c r="G113" s="2" t="s">
        <v>46</v>
      </c>
      <c r="H113" s="2">
        <v>3</v>
      </c>
      <c r="I113" s="4">
        <v>299.99</v>
      </c>
      <c r="J113" s="2" t="s">
        <v>26</v>
      </c>
      <c r="K113" s="2" t="s">
        <v>21</v>
      </c>
      <c r="L113" s="2" t="s">
        <v>27</v>
      </c>
      <c r="M113" s="3">
        <v>44494</v>
      </c>
      <c r="N113" s="4">
        <v>899.97</v>
      </c>
      <c r="O113" s="5">
        <f t="shared" ca="1" si="5"/>
        <v>46301.61373611111</v>
      </c>
      <c r="P113" s="6">
        <f t="shared" ca="1" si="6"/>
        <v>46302</v>
      </c>
      <c r="Q113" s="7">
        <f>DATEDIF(Sales_Data[[#This Row],[Customer_Since]],Sales_Data[[#This Row],[Date]],"d")</f>
        <v>1053</v>
      </c>
      <c r="R113" s="8">
        <f t="shared" si="7"/>
        <v>45565</v>
      </c>
      <c r="S113" s="9" t="str">
        <f t="shared" si="8"/>
        <v>Sep-24</v>
      </c>
      <c r="T113" s="9">
        <f>COUNTIF(Sales_Data[Product_Name],F113)</f>
        <v>26</v>
      </c>
      <c r="U113" s="9">
        <f>COUNTIF(Sales_Data[Customer_ID],C113)</f>
        <v>6</v>
      </c>
      <c r="V113" s="9" t="str">
        <f t="shared" si="9"/>
        <v>DN</v>
      </c>
    </row>
    <row r="114" spans="1:22" ht="15.75" customHeight="1" x14ac:dyDescent="0.3">
      <c r="A114" s="2" t="s">
        <v>244</v>
      </c>
      <c r="B114" s="3">
        <v>45548</v>
      </c>
      <c r="C114" s="2" t="s">
        <v>38</v>
      </c>
      <c r="D114" s="2" t="s">
        <v>39</v>
      </c>
      <c r="E114" s="2" t="s">
        <v>117</v>
      </c>
      <c r="F114" s="2" t="s">
        <v>118</v>
      </c>
      <c r="G114" s="2" t="s">
        <v>19</v>
      </c>
      <c r="H114" s="2">
        <v>2</v>
      </c>
      <c r="I114" s="4">
        <v>89.99</v>
      </c>
      <c r="J114" s="2" t="s">
        <v>26</v>
      </c>
      <c r="K114" s="2" t="s">
        <v>35</v>
      </c>
      <c r="L114" s="2" t="s">
        <v>27</v>
      </c>
      <c r="M114" s="3">
        <v>44641</v>
      </c>
      <c r="N114" s="4">
        <v>179.98</v>
      </c>
      <c r="O114" s="5">
        <f t="shared" ca="1" si="5"/>
        <v>46301.61373611111</v>
      </c>
      <c r="P114" s="6">
        <f t="shared" ca="1" si="6"/>
        <v>46302</v>
      </c>
      <c r="Q114" s="7">
        <f>DATEDIF(Sales_Data[[#This Row],[Customer_Since]],Sales_Data[[#This Row],[Date]],"d")</f>
        <v>907</v>
      </c>
      <c r="R114" s="8">
        <f t="shared" si="7"/>
        <v>45565</v>
      </c>
      <c r="S114" s="9" t="str">
        <f t="shared" si="8"/>
        <v>Sep-24</v>
      </c>
      <c r="T114" s="9">
        <f>COUNTIF(Sales_Data[Product_Name],F114)</f>
        <v>34</v>
      </c>
      <c r="U114" s="9">
        <f>COUNTIF(Sales_Data[Customer_ID],C114)</f>
        <v>6</v>
      </c>
      <c r="V114" s="9" t="str">
        <f t="shared" si="9"/>
        <v>KB</v>
      </c>
    </row>
    <row r="115" spans="1:22" ht="15.75" customHeight="1" x14ac:dyDescent="0.3">
      <c r="A115" s="2" t="s">
        <v>245</v>
      </c>
      <c r="B115" s="3">
        <v>45550</v>
      </c>
      <c r="C115" s="2" t="s">
        <v>246</v>
      </c>
      <c r="D115" s="2" t="s">
        <v>247</v>
      </c>
      <c r="E115" s="2" t="s">
        <v>52</v>
      </c>
      <c r="F115" s="2" t="s">
        <v>53</v>
      </c>
      <c r="G115" s="2" t="s">
        <v>19</v>
      </c>
      <c r="H115" s="2">
        <v>4</v>
      </c>
      <c r="I115" s="4">
        <v>149.99</v>
      </c>
      <c r="J115" s="2" t="s">
        <v>20</v>
      </c>
      <c r="K115" s="2" t="s">
        <v>40</v>
      </c>
      <c r="L115" s="2" t="s">
        <v>22</v>
      </c>
      <c r="M115" s="3">
        <v>44909</v>
      </c>
      <c r="N115" s="4">
        <v>599.96</v>
      </c>
      <c r="O115" s="5">
        <f t="shared" ca="1" si="5"/>
        <v>46301.61373611111</v>
      </c>
      <c r="P115" s="6">
        <f t="shared" ca="1" si="6"/>
        <v>46302</v>
      </c>
      <c r="Q115" s="7">
        <f>DATEDIF(Sales_Data[[#This Row],[Customer_Since]],Sales_Data[[#This Row],[Date]],"d")</f>
        <v>641</v>
      </c>
      <c r="R115" s="8">
        <f t="shared" si="7"/>
        <v>45565</v>
      </c>
      <c r="S115" s="9" t="str">
        <f t="shared" si="8"/>
        <v>Sep-24</v>
      </c>
      <c r="T115" s="9">
        <f>COUNTIF(Sales_Data[Product_Name],F115)</f>
        <v>16</v>
      </c>
      <c r="U115" s="9">
        <f>COUNTIF(Sales_Data[Customer_ID],C115)</f>
        <v>3</v>
      </c>
      <c r="V115" s="9" t="str">
        <f t="shared" si="9"/>
        <v>RB</v>
      </c>
    </row>
    <row r="116" spans="1:22" ht="15.75" customHeight="1" x14ac:dyDescent="0.3">
      <c r="A116" s="2" t="s">
        <v>248</v>
      </c>
      <c r="B116" s="3">
        <v>45551</v>
      </c>
      <c r="C116" s="2" t="s">
        <v>65</v>
      </c>
      <c r="D116" s="2" t="s">
        <v>66</v>
      </c>
      <c r="E116" s="2" t="s">
        <v>17</v>
      </c>
      <c r="F116" s="2" t="s">
        <v>18</v>
      </c>
      <c r="G116" s="2" t="s">
        <v>19</v>
      </c>
      <c r="H116" s="2">
        <v>2</v>
      </c>
      <c r="I116" s="4">
        <v>249.99</v>
      </c>
      <c r="J116" s="2" t="s">
        <v>34</v>
      </c>
      <c r="K116" s="2" t="s">
        <v>35</v>
      </c>
      <c r="L116" s="2" t="s">
        <v>22</v>
      </c>
      <c r="M116" s="3">
        <v>44993</v>
      </c>
      <c r="N116" s="4">
        <v>499.98</v>
      </c>
      <c r="O116" s="5">
        <f t="shared" ca="1" si="5"/>
        <v>46301.61373611111</v>
      </c>
      <c r="P116" s="6">
        <f t="shared" ca="1" si="6"/>
        <v>46302</v>
      </c>
      <c r="Q116" s="7">
        <f>DATEDIF(Sales_Data[[#This Row],[Customer_Since]],Sales_Data[[#This Row],[Date]],"d")</f>
        <v>558</v>
      </c>
      <c r="R116" s="8">
        <f t="shared" si="7"/>
        <v>45565</v>
      </c>
      <c r="S116" s="9" t="str">
        <f t="shared" si="8"/>
        <v>Sep-24</v>
      </c>
      <c r="T116" s="9">
        <f>COUNTIF(Sales_Data[Product_Name],F116)</f>
        <v>26</v>
      </c>
      <c r="U116" s="9">
        <f>COUNTIF(Sales_Data[Customer_ID],C116)</f>
        <v>8</v>
      </c>
      <c r="V116" s="9" t="str">
        <f t="shared" si="9"/>
        <v>KH</v>
      </c>
    </row>
    <row r="117" spans="1:22" ht="15.75" customHeight="1" x14ac:dyDescent="0.3">
      <c r="A117" s="2" t="s">
        <v>249</v>
      </c>
      <c r="B117" s="3">
        <v>45551</v>
      </c>
      <c r="C117" s="2" t="s">
        <v>154</v>
      </c>
      <c r="D117" s="2" t="s">
        <v>155</v>
      </c>
      <c r="E117" s="2" t="s">
        <v>126</v>
      </c>
      <c r="F117" s="2" t="s">
        <v>127</v>
      </c>
      <c r="G117" s="2" t="s">
        <v>46</v>
      </c>
      <c r="H117" s="2">
        <v>4</v>
      </c>
      <c r="I117" s="4">
        <v>199.99</v>
      </c>
      <c r="J117" s="2" t="s">
        <v>57</v>
      </c>
      <c r="K117" s="2" t="s">
        <v>63</v>
      </c>
      <c r="L117" s="2" t="s">
        <v>22</v>
      </c>
      <c r="M117" s="3">
        <v>44458</v>
      </c>
      <c r="N117" s="4">
        <v>799.96</v>
      </c>
      <c r="O117" s="5">
        <f t="shared" ca="1" si="5"/>
        <v>46301.61373611111</v>
      </c>
      <c r="P117" s="6">
        <f t="shared" ca="1" si="6"/>
        <v>46302</v>
      </c>
      <c r="Q117" s="7">
        <f>DATEDIF(Sales_Data[[#This Row],[Customer_Since]],Sales_Data[[#This Row],[Date]],"d")</f>
        <v>1093</v>
      </c>
      <c r="R117" s="8">
        <f t="shared" si="7"/>
        <v>45565</v>
      </c>
      <c r="S117" s="9" t="str">
        <f t="shared" si="8"/>
        <v>Sep-24</v>
      </c>
      <c r="T117" s="9">
        <f>COUNTIF(Sales_Data[Product_Name],F117)</f>
        <v>15</v>
      </c>
      <c r="U117" s="9">
        <f>COUNTIF(Sales_Data[Customer_ID],C117)</f>
        <v>5</v>
      </c>
      <c r="V117" s="9" t="str">
        <f t="shared" si="9"/>
        <v>SD</v>
      </c>
    </row>
    <row r="118" spans="1:22" ht="15.75" customHeight="1" x14ac:dyDescent="0.3">
      <c r="A118" s="2" t="s">
        <v>250</v>
      </c>
      <c r="B118" s="3">
        <v>45554</v>
      </c>
      <c r="C118" s="2" t="s">
        <v>147</v>
      </c>
      <c r="D118" s="2" t="s">
        <v>148</v>
      </c>
      <c r="E118" s="2" t="s">
        <v>117</v>
      </c>
      <c r="F118" s="2" t="s">
        <v>118</v>
      </c>
      <c r="G118" s="2" t="s">
        <v>19</v>
      </c>
      <c r="H118" s="2">
        <v>5</v>
      </c>
      <c r="I118" s="4">
        <v>89.99</v>
      </c>
      <c r="J118" s="2" t="s">
        <v>26</v>
      </c>
      <c r="K118" s="2" t="s">
        <v>63</v>
      </c>
      <c r="L118" s="2" t="s">
        <v>27</v>
      </c>
      <c r="M118" s="3">
        <v>44446</v>
      </c>
      <c r="N118" s="4">
        <v>449.95</v>
      </c>
      <c r="O118" s="5">
        <f t="shared" ca="1" si="5"/>
        <v>46301.61373611111</v>
      </c>
      <c r="P118" s="6">
        <f t="shared" ca="1" si="6"/>
        <v>46302</v>
      </c>
      <c r="Q118" s="7">
        <f>DATEDIF(Sales_Data[[#This Row],[Customer_Since]],Sales_Data[[#This Row],[Date]],"d")</f>
        <v>1108</v>
      </c>
      <c r="R118" s="8">
        <f t="shared" si="7"/>
        <v>45565</v>
      </c>
      <c r="S118" s="9" t="str">
        <f t="shared" si="8"/>
        <v>Sep-24</v>
      </c>
      <c r="T118" s="9">
        <f>COUNTIF(Sales_Data[Product_Name],F118)</f>
        <v>34</v>
      </c>
      <c r="U118" s="9">
        <f>COUNTIF(Sales_Data[Customer_ID],C118)</f>
        <v>7</v>
      </c>
      <c r="V118" s="9" t="str">
        <f t="shared" si="9"/>
        <v>DK</v>
      </c>
    </row>
    <row r="119" spans="1:22" ht="15.75" customHeight="1" x14ac:dyDescent="0.3">
      <c r="A119" s="2" t="s">
        <v>251</v>
      </c>
      <c r="B119" s="3">
        <v>45554</v>
      </c>
      <c r="C119" s="2" t="s">
        <v>252</v>
      </c>
      <c r="D119" s="2" t="s">
        <v>253</v>
      </c>
      <c r="E119" s="2" t="s">
        <v>52</v>
      </c>
      <c r="F119" s="2" t="s">
        <v>53</v>
      </c>
      <c r="G119" s="2" t="s">
        <v>19</v>
      </c>
      <c r="H119" s="2">
        <v>1</v>
      </c>
      <c r="I119" s="4">
        <v>149.99</v>
      </c>
      <c r="J119" s="2" t="s">
        <v>34</v>
      </c>
      <c r="K119" s="2" t="s">
        <v>63</v>
      </c>
      <c r="L119" s="2" t="s">
        <v>36</v>
      </c>
      <c r="M119" s="3">
        <v>44482</v>
      </c>
      <c r="N119" s="4">
        <v>149.99</v>
      </c>
      <c r="O119" s="5">
        <f t="shared" ca="1" si="5"/>
        <v>46301.61373611111</v>
      </c>
      <c r="P119" s="6">
        <f t="shared" ca="1" si="6"/>
        <v>46302</v>
      </c>
      <c r="Q119" s="7">
        <f>DATEDIF(Sales_Data[[#This Row],[Customer_Since]],Sales_Data[[#This Row],[Date]],"d")</f>
        <v>1072</v>
      </c>
      <c r="R119" s="8">
        <f t="shared" si="7"/>
        <v>45565</v>
      </c>
      <c r="S119" s="9" t="str">
        <f t="shared" si="8"/>
        <v>Sep-24</v>
      </c>
      <c r="T119" s="9">
        <f>COUNTIF(Sales_Data[Product_Name],F119)</f>
        <v>16</v>
      </c>
      <c r="U119" s="9">
        <f>COUNTIF(Sales_Data[Customer_ID],C119)</f>
        <v>3</v>
      </c>
      <c r="V119" s="9" t="str">
        <f t="shared" si="9"/>
        <v>WW</v>
      </c>
    </row>
    <row r="120" spans="1:22" ht="15.75" customHeight="1" x14ac:dyDescent="0.3">
      <c r="A120" s="2" t="s">
        <v>254</v>
      </c>
      <c r="B120" s="3">
        <v>45554</v>
      </c>
      <c r="C120" s="2" t="s">
        <v>72</v>
      </c>
      <c r="D120" s="2" t="s">
        <v>73</v>
      </c>
      <c r="E120" s="2" t="s">
        <v>80</v>
      </c>
      <c r="F120" s="2" t="s">
        <v>81</v>
      </c>
      <c r="G120" s="2" t="s">
        <v>19</v>
      </c>
      <c r="H120" s="2">
        <v>4</v>
      </c>
      <c r="I120" s="4">
        <v>699.99</v>
      </c>
      <c r="J120" s="2" t="s">
        <v>34</v>
      </c>
      <c r="K120" s="2" t="s">
        <v>35</v>
      </c>
      <c r="L120" s="2" t="s">
        <v>22</v>
      </c>
      <c r="M120" s="3">
        <v>44618</v>
      </c>
      <c r="N120" s="4">
        <v>2799.96</v>
      </c>
      <c r="O120" s="5">
        <f t="shared" ca="1" si="5"/>
        <v>46301.61373611111</v>
      </c>
      <c r="P120" s="6">
        <f t="shared" ca="1" si="6"/>
        <v>46302</v>
      </c>
      <c r="Q120" s="7">
        <f>DATEDIF(Sales_Data[[#This Row],[Customer_Since]],Sales_Data[[#This Row],[Date]],"d")</f>
        <v>936</v>
      </c>
      <c r="R120" s="8">
        <f t="shared" si="7"/>
        <v>45565</v>
      </c>
      <c r="S120" s="9" t="str">
        <f t="shared" si="8"/>
        <v>Sep-24</v>
      </c>
      <c r="T120" s="9">
        <f>COUNTIF(Sales_Data[Product_Name],F120)</f>
        <v>31</v>
      </c>
      <c r="U120" s="9">
        <f>COUNTIF(Sales_Data[Customer_ID],C120)</f>
        <v>5</v>
      </c>
      <c r="V120" s="9" t="str">
        <f t="shared" si="9"/>
        <v>PR</v>
      </c>
    </row>
    <row r="121" spans="1:22" ht="15.75" customHeight="1" x14ac:dyDescent="0.3">
      <c r="A121" s="2" t="s">
        <v>255</v>
      </c>
      <c r="B121" s="3">
        <v>45559</v>
      </c>
      <c r="C121" s="2" t="s">
        <v>234</v>
      </c>
      <c r="D121" s="2" t="s">
        <v>235</v>
      </c>
      <c r="E121" s="2" t="s">
        <v>61</v>
      </c>
      <c r="F121" s="2" t="s">
        <v>62</v>
      </c>
      <c r="G121" s="2" t="s">
        <v>19</v>
      </c>
      <c r="H121" s="2">
        <v>3</v>
      </c>
      <c r="I121" s="4">
        <v>899.99</v>
      </c>
      <c r="J121" s="2" t="s">
        <v>26</v>
      </c>
      <c r="K121" s="2" t="s">
        <v>40</v>
      </c>
      <c r="L121" s="2" t="s">
        <v>36</v>
      </c>
      <c r="M121" s="3">
        <v>45157</v>
      </c>
      <c r="N121" s="4">
        <v>2699.97</v>
      </c>
      <c r="O121" s="5">
        <f t="shared" ca="1" si="5"/>
        <v>46301.61373611111</v>
      </c>
      <c r="P121" s="6">
        <f t="shared" ca="1" si="6"/>
        <v>46302</v>
      </c>
      <c r="Q121" s="7">
        <f>DATEDIF(Sales_Data[[#This Row],[Customer_Since]],Sales_Data[[#This Row],[Date]],"d")</f>
        <v>402</v>
      </c>
      <c r="R121" s="8">
        <f t="shared" si="7"/>
        <v>45565</v>
      </c>
      <c r="S121" s="9" t="str">
        <f t="shared" si="8"/>
        <v>Sep-24</v>
      </c>
      <c r="T121" s="9">
        <f>COUNTIF(Sales_Data[Product_Name],F121)</f>
        <v>24</v>
      </c>
      <c r="U121" s="9">
        <f>COUNTIF(Sales_Data[Customer_ID],C121)</f>
        <v>5</v>
      </c>
      <c r="V121" s="9" t="str">
        <f t="shared" si="9"/>
        <v>SP</v>
      </c>
    </row>
    <row r="122" spans="1:22" ht="15.75" customHeight="1" x14ac:dyDescent="0.3">
      <c r="A122" s="2" t="s">
        <v>256</v>
      </c>
      <c r="B122" s="3">
        <v>45560</v>
      </c>
      <c r="C122" s="2" t="s">
        <v>112</v>
      </c>
      <c r="D122" s="2" t="s">
        <v>113</v>
      </c>
      <c r="E122" s="2" t="s">
        <v>44</v>
      </c>
      <c r="F122" s="2" t="s">
        <v>45</v>
      </c>
      <c r="G122" s="2" t="s">
        <v>46</v>
      </c>
      <c r="H122" s="2">
        <v>3</v>
      </c>
      <c r="I122" s="4">
        <v>149.99</v>
      </c>
      <c r="J122" s="2" t="s">
        <v>34</v>
      </c>
      <c r="K122" s="2" t="s">
        <v>63</v>
      </c>
      <c r="L122" s="2" t="s">
        <v>22</v>
      </c>
      <c r="M122" s="3">
        <v>44886</v>
      </c>
      <c r="N122" s="4">
        <v>449.97</v>
      </c>
      <c r="O122" s="5">
        <f t="shared" ca="1" si="5"/>
        <v>46301.61373611111</v>
      </c>
      <c r="P122" s="6">
        <f t="shared" ca="1" si="6"/>
        <v>46302</v>
      </c>
      <c r="Q122" s="7">
        <f>DATEDIF(Sales_Data[[#This Row],[Customer_Since]],Sales_Data[[#This Row],[Date]],"d")</f>
        <v>674</v>
      </c>
      <c r="R122" s="8">
        <f t="shared" si="7"/>
        <v>45565</v>
      </c>
      <c r="S122" s="9" t="str">
        <f t="shared" si="8"/>
        <v>Sep-24</v>
      </c>
      <c r="T122" s="9">
        <f>COUNTIF(Sales_Data[Product_Name],F122)</f>
        <v>35</v>
      </c>
      <c r="U122" s="9">
        <f>COUNTIF(Sales_Data[Customer_ID],C122)</f>
        <v>4</v>
      </c>
      <c r="V122" s="9" t="str">
        <f t="shared" si="9"/>
        <v>LM</v>
      </c>
    </row>
    <row r="123" spans="1:22" ht="15.75" customHeight="1" x14ac:dyDescent="0.3">
      <c r="A123" s="2" t="s">
        <v>257</v>
      </c>
      <c r="B123" s="3">
        <v>45563</v>
      </c>
      <c r="C123" s="2" t="s">
        <v>99</v>
      </c>
      <c r="D123" s="2" t="s">
        <v>100</v>
      </c>
      <c r="E123" s="2" t="s">
        <v>105</v>
      </c>
      <c r="F123" s="2" t="s">
        <v>106</v>
      </c>
      <c r="G123" s="2" t="s">
        <v>46</v>
      </c>
      <c r="H123" s="2">
        <v>2</v>
      </c>
      <c r="I123" s="4">
        <v>299.99</v>
      </c>
      <c r="J123" s="2" t="s">
        <v>57</v>
      </c>
      <c r="K123" s="2" t="s">
        <v>21</v>
      </c>
      <c r="L123" s="2" t="s">
        <v>22</v>
      </c>
      <c r="M123" s="3">
        <v>44569</v>
      </c>
      <c r="N123" s="4">
        <v>599.98</v>
      </c>
      <c r="O123" s="5">
        <f t="shared" ca="1" si="5"/>
        <v>46301.61373611111</v>
      </c>
      <c r="P123" s="6">
        <f t="shared" ca="1" si="6"/>
        <v>46302</v>
      </c>
      <c r="Q123" s="7">
        <f>DATEDIF(Sales_Data[[#This Row],[Customer_Since]],Sales_Data[[#This Row],[Date]],"d")</f>
        <v>994</v>
      </c>
      <c r="R123" s="8">
        <f t="shared" si="7"/>
        <v>45565</v>
      </c>
      <c r="S123" s="9" t="str">
        <f t="shared" si="8"/>
        <v>Sep-24</v>
      </c>
      <c r="T123" s="9">
        <f>COUNTIF(Sales_Data[Product_Name],F123)</f>
        <v>26</v>
      </c>
      <c r="U123" s="9">
        <f>COUNTIF(Sales_Data[Customer_ID],C123)</f>
        <v>8</v>
      </c>
      <c r="V123" s="9" t="str">
        <f t="shared" si="9"/>
        <v>PM</v>
      </c>
    </row>
    <row r="124" spans="1:22" ht="15.75" customHeight="1" x14ac:dyDescent="0.3">
      <c r="A124" s="2" t="s">
        <v>258</v>
      </c>
      <c r="B124" s="3">
        <v>45564</v>
      </c>
      <c r="C124" s="2" t="s">
        <v>259</v>
      </c>
      <c r="D124" s="2" t="s">
        <v>260</v>
      </c>
      <c r="E124" s="2" t="s">
        <v>126</v>
      </c>
      <c r="F124" s="2" t="s">
        <v>127</v>
      </c>
      <c r="G124" s="2" t="s">
        <v>46</v>
      </c>
      <c r="H124" s="2">
        <v>1</v>
      </c>
      <c r="I124" s="4">
        <v>199.99</v>
      </c>
      <c r="J124" s="2" t="s">
        <v>57</v>
      </c>
      <c r="K124" s="2" t="s">
        <v>63</v>
      </c>
      <c r="L124" s="2" t="s">
        <v>36</v>
      </c>
      <c r="M124" s="3">
        <v>44953</v>
      </c>
      <c r="N124" s="4">
        <v>199.99</v>
      </c>
      <c r="O124" s="5">
        <f t="shared" ca="1" si="5"/>
        <v>46301.61373611111</v>
      </c>
      <c r="P124" s="6">
        <f t="shared" ca="1" si="6"/>
        <v>46302</v>
      </c>
      <c r="Q124" s="7">
        <f>DATEDIF(Sales_Data[[#This Row],[Customer_Since]],Sales_Data[[#This Row],[Date]],"d")</f>
        <v>611</v>
      </c>
      <c r="R124" s="8">
        <f t="shared" si="7"/>
        <v>45565</v>
      </c>
      <c r="S124" s="9" t="str">
        <f t="shared" si="8"/>
        <v>Sep-24</v>
      </c>
      <c r="T124" s="9">
        <f>COUNTIF(Sales_Data[Product_Name],F124)</f>
        <v>15</v>
      </c>
      <c r="U124" s="9">
        <f>COUNTIF(Sales_Data[Customer_ID],C124)</f>
        <v>3</v>
      </c>
      <c r="V124" s="9" t="str">
        <f t="shared" si="9"/>
        <v>RL</v>
      </c>
    </row>
    <row r="125" spans="1:22" ht="15.75" customHeight="1" x14ac:dyDescent="0.3">
      <c r="A125" s="2" t="s">
        <v>261</v>
      </c>
      <c r="B125" s="3">
        <v>45566</v>
      </c>
      <c r="C125" s="2" t="s">
        <v>42</v>
      </c>
      <c r="D125" s="2" t="s">
        <v>43</v>
      </c>
      <c r="E125" s="2" t="s">
        <v>105</v>
      </c>
      <c r="F125" s="2" t="s">
        <v>106</v>
      </c>
      <c r="G125" s="2" t="s">
        <v>46</v>
      </c>
      <c r="H125" s="2">
        <v>4</v>
      </c>
      <c r="I125" s="4">
        <v>299.99</v>
      </c>
      <c r="J125" s="2" t="s">
        <v>20</v>
      </c>
      <c r="K125" s="2" t="s">
        <v>21</v>
      </c>
      <c r="L125" s="2" t="s">
        <v>27</v>
      </c>
      <c r="M125" s="3">
        <v>44460</v>
      </c>
      <c r="N125" s="4">
        <v>1199.96</v>
      </c>
      <c r="O125" s="5">
        <f t="shared" ca="1" si="5"/>
        <v>46301.61373611111</v>
      </c>
      <c r="P125" s="6">
        <f t="shared" ca="1" si="6"/>
        <v>46302</v>
      </c>
      <c r="Q125" s="7">
        <f>DATEDIF(Sales_Data[[#This Row],[Customer_Since]],Sales_Data[[#This Row],[Date]],"d")</f>
        <v>1106</v>
      </c>
      <c r="R125" s="8">
        <f t="shared" si="7"/>
        <v>45596</v>
      </c>
      <c r="S125" s="9" t="str">
        <f t="shared" si="8"/>
        <v>Oct-24</v>
      </c>
      <c r="T125" s="9">
        <f>COUNTIF(Sales_Data[Product_Name],F125)</f>
        <v>26</v>
      </c>
      <c r="U125" s="9">
        <f>COUNTIF(Sales_Data[Customer_ID],C125)</f>
        <v>9</v>
      </c>
      <c r="V125" s="9" t="str">
        <f t="shared" si="9"/>
        <v>MB</v>
      </c>
    </row>
    <row r="126" spans="1:22" ht="15.75" customHeight="1" x14ac:dyDescent="0.3">
      <c r="A126" s="2" t="s">
        <v>262</v>
      </c>
      <c r="B126" s="3">
        <v>45572</v>
      </c>
      <c r="C126" s="2" t="s">
        <v>89</v>
      </c>
      <c r="D126" s="2" t="s">
        <v>90</v>
      </c>
      <c r="E126" s="2" t="s">
        <v>31</v>
      </c>
      <c r="F126" s="2" t="s">
        <v>32</v>
      </c>
      <c r="G126" s="2" t="s">
        <v>33</v>
      </c>
      <c r="H126" s="2">
        <v>2</v>
      </c>
      <c r="I126" s="4">
        <v>59.99</v>
      </c>
      <c r="J126" s="2" t="s">
        <v>26</v>
      </c>
      <c r="K126" s="2" t="s">
        <v>21</v>
      </c>
      <c r="L126" s="2" t="s">
        <v>22</v>
      </c>
      <c r="M126" s="3">
        <v>44579</v>
      </c>
      <c r="N126" s="4">
        <v>119.98</v>
      </c>
      <c r="O126" s="5">
        <f t="shared" ca="1" si="5"/>
        <v>46301.61373611111</v>
      </c>
      <c r="P126" s="6">
        <f t="shared" ca="1" si="6"/>
        <v>46302</v>
      </c>
      <c r="Q126" s="7">
        <f>DATEDIF(Sales_Data[[#This Row],[Customer_Since]],Sales_Data[[#This Row],[Date]],"d")</f>
        <v>993</v>
      </c>
      <c r="R126" s="8">
        <f t="shared" si="7"/>
        <v>45596</v>
      </c>
      <c r="S126" s="9" t="str">
        <f t="shared" si="8"/>
        <v>Oct-24</v>
      </c>
      <c r="T126" s="9">
        <f>COUNTIF(Sales_Data[Product_Name],F126)</f>
        <v>29</v>
      </c>
      <c r="U126" s="9">
        <f>COUNTIF(Sales_Data[Customer_ID],C126)</f>
        <v>4</v>
      </c>
      <c r="V126" s="9" t="str">
        <f t="shared" si="9"/>
        <v>MG</v>
      </c>
    </row>
    <row r="127" spans="1:22" ht="15.75" customHeight="1" x14ac:dyDescent="0.3">
      <c r="A127" s="2" t="s">
        <v>263</v>
      </c>
      <c r="B127" s="3">
        <v>45572</v>
      </c>
      <c r="C127" s="2" t="s">
        <v>234</v>
      </c>
      <c r="D127" s="2" t="s">
        <v>235</v>
      </c>
      <c r="E127" s="2" t="s">
        <v>52</v>
      </c>
      <c r="F127" s="2" t="s">
        <v>53</v>
      </c>
      <c r="G127" s="2" t="s">
        <v>19</v>
      </c>
      <c r="H127" s="2">
        <v>4</v>
      </c>
      <c r="I127" s="4">
        <v>149.99</v>
      </c>
      <c r="J127" s="2" t="s">
        <v>26</v>
      </c>
      <c r="K127" s="2" t="s">
        <v>40</v>
      </c>
      <c r="L127" s="2" t="s">
        <v>27</v>
      </c>
      <c r="M127" s="3">
        <v>45076</v>
      </c>
      <c r="N127" s="4">
        <v>599.96</v>
      </c>
      <c r="O127" s="5">
        <f t="shared" ca="1" si="5"/>
        <v>46301.61373611111</v>
      </c>
      <c r="P127" s="6">
        <f t="shared" ca="1" si="6"/>
        <v>46302</v>
      </c>
      <c r="Q127" s="7">
        <f>DATEDIF(Sales_Data[[#This Row],[Customer_Since]],Sales_Data[[#This Row],[Date]],"d")</f>
        <v>496</v>
      </c>
      <c r="R127" s="8">
        <f t="shared" si="7"/>
        <v>45596</v>
      </c>
      <c r="S127" s="9" t="str">
        <f t="shared" si="8"/>
        <v>Oct-24</v>
      </c>
      <c r="T127" s="9">
        <f>COUNTIF(Sales_Data[Product_Name],F127)</f>
        <v>16</v>
      </c>
      <c r="U127" s="9">
        <f>COUNTIF(Sales_Data[Customer_ID],C127)</f>
        <v>5</v>
      </c>
      <c r="V127" s="9" t="str">
        <f t="shared" si="9"/>
        <v>SP</v>
      </c>
    </row>
    <row r="128" spans="1:22" ht="15.75" customHeight="1" x14ac:dyDescent="0.3">
      <c r="A128" s="2" t="s">
        <v>264</v>
      </c>
      <c r="B128" s="3">
        <v>45573</v>
      </c>
      <c r="C128" s="2" t="s">
        <v>211</v>
      </c>
      <c r="D128" s="2" t="s">
        <v>212</v>
      </c>
      <c r="E128" s="2" t="s">
        <v>80</v>
      </c>
      <c r="F128" s="2" t="s">
        <v>81</v>
      </c>
      <c r="G128" s="2" t="s">
        <v>19</v>
      </c>
      <c r="H128" s="2">
        <v>2</v>
      </c>
      <c r="I128" s="4">
        <v>699.99</v>
      </c>
      <c r="J128" s="2" t="s">
        <v>57</v>
      </c>
      <c r="K128" s="2" t="s">
        <v>63</v>
      </c>
      <c r="L128" s="2" t="s">
        <v>27</v>
      </c>
      <c r="M128" s="3">
        <v>45274</v>
      </c>
      <c r="N128" s="4">
        <v>1399.98</v>
      </c>
      <c r="O128" s="5">
        <f t="shared" ca="1" si="5"/>
        <v>46301.61373611111</v>
      </c>
      <c r="P128" s="6">
        <f t="shared" ca="1" si="6"/>
        <v>46302</v>
      </c>
      <c r="Q128" s="7">
        <f>DATEDIF(Sales_Data[[#This Row],[Customer_Since]],Sales_Data[[#This Row],[Date]],"d")</f>
        <v>299</v>
      </c>
      <c r="R128" s="8">
        <f t="shared" si="7"/>
        <v>45596</v>
      </c>
      <c r="S128" s="9" t="str">
        <f t="shared" si="8"/>
        <v>Oct-24</v>
      </c>
      <c r="T128" s="9">
        <f>COUNTIF(Sales_Data[Product_Name],F128)</f>
        <v>31</v>
      </c>
      <c r="U128" s="9">
        <f>COUNTIF(Sales_Data[Customer_ID],C128)</f>
        <v>4</v>
      </c>
      <c r="V128" s="9" t="str">
        <f t="shared" si="9"/>
        <v>EH</v>
      </c>
    </row>
    <row r="129" spans="1:22" ht="15.75" customHeight="1" x14ac:dyDescent="0.3">
      <c r="A129" s="2" t="s">
        <v>265</v>
      </c>
      <c r="B129" s="3">
        <v>45573</v>
      </c>
      <c r="C129" s="2" t="s">
        <v>231</v>
      </c>
      <c r="D129" s="2" t="s">
        <v>232</v>
      </c>
      <c r="E129" s="2" t="s">
        <v>44</v>
      </c>
      <c r="F129" s="2" t="s">
        <v>45</v>
      </c>
      <c r="G129" s="2" t="s">
        <v>46</v>
      </c>
      <c r="H129" s="2">
        <v>3</v>
      </c>
      <c r="I129" s="4">
        <v>149.99</v>
      </c>
      <c r="J129" s="2" t="s">
        <v>26</v>
      </c>
      <c r="K129" s="2" t="s">
        <v>35</v>
      </c>
      <c r="L129" s="2" t="s">
        <v>36</v>
      </c>
      <c r="M129" s="3">
        <v>44940</v>
      </c>
      <c r="N129" s="4">
        <v>449.97</v>
      </c>
      <c r="O129" s="5">
        <f t="shared" ca="1" si="5"/>
        <v>46301.61373611111</v>
      </c>
      <c r="P129" s="6">
        <f t="shared" ca="1" si="6"/>
        <v>46302</v>
      </c>
      <c r="Q129" s="7">
        <f>DATEDIF(Sales_Data[[#This Row],[Customer_Since]],Sales_Data[[#This Row],[Date]],"d")</f>
        <v>633</v>
      </c>
      <c r="R129" s="8">
        <f t="shared" si="7"/>
        <v>45596</v>
      </c>
      <c r="S129" s="9" t="str">
        <f t="shared" si="8"/>
        <v>Oct-24</v>
      </c>
      <c r="T129" s="9">
        <f>COUNTIF(Sales_Data[Product_Name],F129)</f>
        <v>35</v>
      </c>
      <c r="U129" s="9">
        <f>COUNTIF(Sales_Data[Customer_ID],C129)</f>
        <v>3</v>
      </c>
      <c r="V129" s="9" t="str">
        <f t="shared" si="9"/>
        <v>CE</v>
      </c>
    </row>
    <row r="130" spans="1:22" ht="15.75" customHeight="1" x14ac:dyDescent="0.3">
      <c r="A130" s="2" t="s">
        <v>266</v>
      </c>
      <c r="B130" s="3">
        <v>45576</v>
      </c>
      <c r="C130" s="2" t="s">
        <v>147</v>
      </c>
      <c r="D130" s="2" t="s">
        <v>148</v>
      </c>
      <c r="E130" s="2" t="s">
        <v>105</v>
      </c>
      <c r="F130" s="2" t="s">
        <v>106</v>
      </c>
      <c r="G130" s="2" t="s">
        <v>46</v>
      </c>
      <c r="H130" s="2">
        <v>3</v>
      </c>
      <c r="I130" s="4">
        <v>299.99</v>
      </c>
      <c r="J130" s="2" t="s">
        <v>26</v>
      </c>
      <c r="K130" s="2" t="s">
        <v>21</v>
      </c>
      <c r="L130" s="2" t="s">
        <v>36</v>
      </c>
      <c r="M130" s="3">
        <v>45174</v>
      </c>
      <c r="N130" s="4">
        <v>899.97</v>
      </c>
      <c r="O130" s="5">
        <f t="shared" ca="1" si="5"/>
        <v>46301.61373611111</v>
      </c>
      <c r="P130" s="6">
        <f t="shared" ca="1" si="6"/>
        <v>46302</v>
      </c>
      <c r="Q130" s="7">
        <f>DATEDIF(Sales_Data[[#This Row],[Customer_Since]],Sales_Data[[#This Row],[Date]],"d")</f>
        <v>402</v>
      </c>
      <c r="R130" s="8">
        <f t="shared" si="7"/>
        <v>45596</v>
      </c>
      <c r="S130" s="9" t="str">
        <f t="shared" si="8"/>
        <v>Oct-24</v>
      </c>
      <c r="T130" s="9">
        <f>COUNTIF(Sales_Data[Product_Name],F130)</f>
        <v>26</v>
      </c>
      <c r="U130" s="9">
        <f>COUNTIF(Sales_Data[Customer_ID],C130)</f>
        <v>7</v>
      </c>
      <c r="V130" s="9" t="str">
        <f t="shared" si="9"/>
        <v>DK</v>
      </c>
    </row>
    <row r="131" spans="1:22" ht="15.75" customHeight="1" x14ac:dyDescent="0.3">
      <c r="A131" s="2" t="s">
        <v>267</v>
      </c>
      <c r="B131" s="3">
        <v>45579</v>
      </c>
      <c r="C131" s="2" t="s">
        <v>83</v>
      </c>
      <c r="D131" s="2" t="s">
        <v>84</v>
      </c>
      <c r="E131" s="2" t="s">
        <v>61</v>
      </c>
      <c r="F131" s="2" t="s">
        <v>62</v>
      </c>
      <c r="G131" s="2" t="s">
        <v>19</v>
      </c>
      <c r="H131" s="2">
        <v>3</v>
      </c>
      <c r="I131" s="4">
        <v>899.99</v>
      </c>
      <c r="J131" s="2" t="s">
        <v>34</v>
      </c>
      <c r="K131" s="2" t="s">
        <v>50</v>
      </c>
      <c r="L131" s="2" t="s">
        <v>22</v>
      </c>
      <c r="M131" s="3">
        <v>45215</v>
      </c>
      <c r="N131" s="4">
        <v>2699.97</v>
      </c>
      <c r="O131" s="5">
        <f t="shared" ca="1" si="5"/>
        <v>46301.61373611111</v>
      </c>
      <c r="P131" s="6">
        <f t="shared" ca="1" si="6"/>
        <v>46302</v>
      </c>
      <c r="Q131" s="7">
        <f>DATEDIF(Sales_Data[[#This Row],[Customer_Since]],Sales_Data[[#This Row],[Date]],"d")</f>
        <v>364</v>
      </c>
      <c r="R131" s="8">
        <f t="shared" si="7"/>
        <v>45596</v>
      </c>
      <c r="S131" s="9" t="str">
        <f t="shared" si="8"/>
        <v>Oct-24</v>
      </c>
      <c r="T131" s="9">
        <f>COUNTIF(Sales_Data[Product_Name],F131)</f>
        <v>24</v>
      </c>
      <c r="U131" s="9">
        <f>COUNTIF(Sales_Data[Customer_ID],C131)</f>
        <v>3</v>
      </c>
      <c r="V131" s="9" t="str">
        <f t="shared" si="9"/>
        <v>GA</v>
      </c>
    </row>
    <row r="132" spans="1:22" ht="15.75" customHeight="1" x14ac:dyDescent="0.3">
      <c r="A132" s="2" t="s">
        <v>268</v>
      </c>
      <c r="B132" s="3">
        <v>45581</v>
      </c>
      <c r="C132" s="2" t="s">
        <v>96</v>
      </c>
      <c r="D132" s="2" t="s">
        <v>97</v>
      </c>
      <c r="E132" s="2" t="s">
        <v>80</v>
      </c>
      <c r="F132" s="2" t="s">
        <v>81</v>
      </c>
      <c r="G132" s="2" t="s">
        <v>19</v>
      </c>
      <c r="H132" s="2">
        <v>5</v>
      </c>
      <c r="I132" s="4">
        <v>699.99</v>
      </c>
      <c r="J132" s="2" t="s">
        <v>20</v>
      </c>
      <c r="K132" s="2" t="s">
        <v>63</v>
      </c>
      <c r="L132" s="2" t="s">
        <v>36</v>
      </c>
      <c r="M132" s="3">
        <v>45008</v>
      </c>
      <c r="N132" s="4">
        <v>3499.95</v>
      </c>
      <c r="O132" s="5">
        <f t="shared" ca="1" si="5"/>
        <v>46301.61373611111</v>
      </c>
      <c r="P132" s="6">
        <f t="shared" ca="1" si="6"/>
        <v>46302</v>
      </c>
      <c r="Q132" s="7">
        <f>DATEDIF(Sales_Data[[#This Row],[Customer_Since]],Sales_Data[[#This Row],[Date]],"d")</f>
        <v>573</v>
      </c>
      <c r="R132" s="8">
        <f t="shared" si="7"/>
        <v>45596</v>
      </c>
      <c r="S132" s="9" t="str">
        <f t="shared" si="8"/>
        <v>Oct-24</v>
      </c>
      <c r="T132" s="9">
        <f>COUNTIF(Sales_Data[Product_Name],F132)</f>
        <v>31</v>
      </c>
      <c r="U132" s="9">
        <f>COUNTIF(Sales_Data[Customer_ID],C132)</f>
        <v>5</v>
      </c>
      <c r="V132" s="9" t="str">
        <f t="shared" si="9"/>
        <v>BY</v>
      </c>
    </row>
    <row r="133" spans="1:22" ht="15.75" customHeight="1" x14ac:dyDescent="0.3">
      <c r="A133" s="2" t="s">
        <v>269</v>
      </c>
      <c r="B133" s="3">
        <v>45581</v>
      </c>
      <c r="C133" s="2" t="s">
        <v>171</v>
      </c>
      <c r="D133" s="2" t="s">
        <v>172</v>
      </c>
      <c r="E133" s="2" t="s">
        <v>80</v>
      </c>
      <c r="F133" s="2" t="s">
        <v>81</v>
      </c>
      <c r="G133" s="2" t="s">
        <v>19</v>
      </c>
      <c r="H133" s="2">
        <v>4</v>
      </c>
      <c r="I133" s="4">
        <v>699.99</v>
      </c>
      <c r="J133" s="2" t="s">
        <v>26</v>
      </c>
      <c r="K133" s="2" t="s">
        <v>21</v>
      </c>
      <c r="L133" s="2" t="s">
        <v>22</v>
      </c>
      <c r="M133" s="3">
        <v>45385</v>
      </c>
      <c r="N133" s="4">
        <v>2799.96</v>
      </c>
      <c r="O133" s="5">
        <f t="shared" ref="O133:O196" ca="1" si="10">IF(A133="","",IF(O133=0,NOW(),O133))</f>
        <v>46301.61373611111</v>
      </c>
      <c r="P133" s="6">
        <f t="shared" ref="P133:P196" ca="1" si="11">TODAY()</f>
        <v>46302</v>
      </c>
      <c r="Q133" s="7">
        <f>DATEDIF(Sales_Data[[#This Row],[Customer_Since]],Sales_Data[[#This Row],[Date]],"d")</f>
        <v>196</v>
      </c>
      <c r="R133" s="8">
        <f t="shared" ref="R133:R196" si="12">EOMONTH(B133,0)</f>
        <v>45596</v>
      </c>
      <c r="S133" s="9" t="str">
        <f t="shared" ref="S133:S196" si="13">TEXT(B133,"mmm-yy")</f>
        <v>Oct-24</v>
      </c>
      <c r="T133" s="9">
        <f>COUNTIF(Sales_Data[Product_Name],F133)</f>
        <v>31</v>
      </c>
      <c r="U133" s="9">
        <f>COUNTIF(Sales_Data[Customer_ID],C133)</f>
        <v>4</v>
      </c>
      <c r="V133" s="9" t="str">
        <f t="shared" ref="V133:V196" si="14">UPPER(LEFT(D133,1)&amp;LEFT(MID(D133,FIND(" ",D133)+1,99),1))</f>
        <v>RR</v>
      </c>
    </row>
    <row r="134" spans="1:22" ht="15.75" customHeight="1" x14ac:dyDescent="0.3">
      <c r="A134" s="2" t="s">
        <v>270</v>
      </c>
      <c r="B134" s="3">
        <v>45581</v>
      </c>
      <c r="C134" s="2" t="s">
        <v>150</v>
      </c>
      <c r="D134" s="2" t="s">
        <v>151</v>
      </c>
      <c r="E134" s="2" t="s">
        <v>61</v>
      </c>
      <c r="F134" s="2" t="s">
        <v>62</v>
      </c>
      <c r="G134" s="2" t="s">
        <v>19</v>
      </c>
      <c r="H134" s="2">
        <v>1</v>
      </c>
      <c r="I134" s="4">
        <v>899.99</v>
      </c>
      <c r="J134" s="2" t="s">
        <v>26</v>
      </c>
      <c r="K134" s="2" t="s">
        <v>63</v>
      </c>
      <c r="L134" s="2" t="s">
        <v>36</v>
      </c>
      <c r="M134" s="3">
        <v>45369</v>
      </c>
      <c r="N134" s="4">
        <v>899.99</v>
      </c>
      <c r="O134" s="5">
        <f t="shared" ca="1" si="10"/>
        <v>46301.61373611111</v>
      </c>
      <c r="P134" s="6">
        <f t="shared" ca="1" si="11"/>
        <v>46302</v>
      </c>
      <c r="Q134" s="7">
        <f>DATEDIF(Sales_Data[[#This Row],[Customer_Since]],Sales_Data[[#This Row],[Date]],"d")</f>
        <v>212</v>
      </c>
      <c r="R134" s="8">
        <f t="shared" si="12"/>
        <v>45596</v>
      </c>
      <c r="S134" s="9" t="str">
        <f t="shared" si="13"/>
        <v>Oct-24</v>
      </c>
      <c r="T134" s="9">
        <f>COUNTIF(Sales_Data[Product_Name],F134)</f>
        <v>24</v>
      </c>
      <c r="U134" s="9">
        <f>COUNTIF(Sales_Data[Customer_ID],C134)</f>
        <v>6</v>
      </c>
      <c r="V134" s="9" t="str">
        <f t="shared" si="14"/>
        <v>SB</v>
      </c>
    </row>
    <row r="135" spans="1:22" ht="15.75" customHeight="1" x14ac:dyDescent="0.3">
      <c r="A135" s="2" t="s">
        <v>271</v>
      </c>
      <c r="B135" s="3">
        <v>45583</v>
      </c>
      <c r="C135" s="2" t="s">
        <v>226</v>
      </c>
      <c r="D135" s="2" t="s">
        <v>227</v>
      </c>
      <c r="E135" s="2" t="s">
        <v>52</v>
      </c>
      <c r="F135" s="2" t="s">
        <v>53</v>
      </c>
      <c r="G135" s="2" t="s">
        <v>19</v>
      </c>
      <c r="H135" s="2">
        <v>2</v>
      </c>
      <c r="I135" s="4">
        <v>149.99</v>
      </c>
      <c r="J135" s="2" t="s">
        <v>26</v>
      </c>
      <c r="K135" s="2" t="s">
        <v>50</v>
      </c>
      <c r="L135" s="2" t="s">
        <v>22</v>
      </c>
      <c r="M135" s="3">
        <v>44916</v>
      </c>
      <c r="N135" s="4">
        <v>299.98</v>
      </c>
      <c r="O135" s="5">
        <f t="shared" ca="1" si="10"/>
        <v>46301.61373611111</v>
      </c>
      <c r="P135" s="6">
        <f t="shared" ca="1" si="11"/>
        <v>46302</v>
      </c>
      <c r="Q135" s="7">
        <f>DATEDIF(Sales_Data[[#This Row],[Customer_Since]],Sales_Data[[#This Row],[Date]],"d")</f>
        <v>667</v>
      </c>
      <c r="R135" s="8">
        <f t="shared" si="12"/>
        <v>45596</v>
      </c>
      <c r="S135" s="9" t="str">
        <f t="shared" si="13"/>
        <v>Oct-24</v>
      </c>
      <c r="T135" s="9">
        <f>COUNTIF(Sales_Data[Product_Name],F135)</f>
        <v>16</v>
      </c>
      <c r="U135" s="9">
        <f>COUNTIF(Sales_Data[Customer_ID],C135)</f>
        <v>8</v>
      </c>
      <c r="V135" s="9" t="str">
        <f t="shared" si="14"/>
        <v>LR</v>
      </c>
    </row>
    <row r="136" spans="1:22" ht="15.75" customHeight="1" x14ac:dyDescent="0.3">
      <c r="A136" s="2" t="s">
        <v>272</v>
      </c>
      <c r="B136" s="3">
        <v>45586</v>
      </c>
      <c r="C136" s="2" t="s">
        <v>226</v>
      </c>
      <c r="D136" s="2" t="s">
        <v>227</v>
      </c>
      <c r="E136" s="2" t="s">
        <v>117</v>
      </c>
      <c r="F136" s="2" t="s">
        <v>118</v>
      </c>
      <c r="G136" s="2" t="s">
        <v>19</v>
      </c>
      <c r="H136" s="2">
        <v>3</v>
      </c>
      <c r="I136" s="4">
        <v>89.99</v>
      </c>
      <c r="J136" s="2" t="s">
        <v>34</v>
      </c>
      <c r="K136" s="2" t="s">
        <v>21</v>
      </c>
      <c r="L136" s="2" t="s">
        <v>22</v>
      </c>
      <c r="M136" s="3">
        <v>44551</v>
      </c>
      <c r="N136" s="4">
        <v>269.97000000000003</v>
      </c>
      <c r="O136" s="5">
        <f t="shared" ca="1" si="10"/>
        <v>46301.61373611111</v>
      </c>
      <c r="P136" s="6">
        <f t="shared" ca="1" si="11"/>
        <v>46302</v>
      </c>
      <c r="Q136" s="7">
        <f>DATEDIF(Sales_Data[[#This Row],[Customer_Since]],Sales_Data[[#This Row],[Date]],"d")</f>
        <v>1035</v>
      </c>
      <c r="R136" s="8">
        <f t="shared" si="12"/>
        <v>45596</v>
      </c>
      <c r="S136" s="9" t="str">
        <f t="shared" si="13"/>
        <v>Oct-24</v>
      </c>
      <c r="T136" s="9">
        <f>COUNTIF(Sales_Data[Product_Name],F136)</f>
        <v>34</v>
      </c>
      <c r="U136" s="9">
        <f>COUNTIF(Sales_Data[Customer_ID],C136)</f>
        <v>8</v>
      </c>
      <c r="V136" s="9" t="str">
        <f t="shared" si="14"/>
        <v>LR</v>
      </c>
    </row>
    <row r="137" spans="1:22" ht="15.75" customHeight="1" x14ac:dyDescent="0.3">
      <c r="A137" s="2" t="s">
        <v>273</v>
      </c>
      <c r="B137" s="3">
        <v>45588</v>
      </c>
      <c r="C137" s="2" t="s">
        <v>38</v>
      </c>
      <c r="D137" s="2" t="s">
        <v>39</v>
      </c>
      <c r="E137" s="2" t="s">
        <v>52</v>
      </c>
      <c r="F137" s="2" t="s">
        <v>53</v>
      </c>
      <c r="G137" s="2" t="s">
        <v>19</v>
      </c>
      <c r="H137" s="2">
        <v>2</v>
      </c>
      <c r="I137" s="4">
        <v>149.99</v>
      </c>
      <c r="J137" s="2" t="s">
        <v>34</v>
      </c>
      <c r="K137" s="2" t="s">
        <v>21</v>
      </c>
      <c r="L137" s="2" t="s">
        <v>22</v>
      </c>
      <c r="M137" s="3">
        <v>44473</v>
      </c>
      <c r="N137" s="4">
        <v>299.98</v>
      </c>
      <c r="O137" s="5">
        <f t="shared" ca="1" si="10"/>
        <v>46301.61373611111</v>
      </c>
      <c r="P137" s="6">
        <f t="shared" ca="1" si="11"/>
        <v>46302</v>
      </c>
      <c r="Q137" s="7">
        <f>DATEDIF(Sales_Data[[#This Row],[Customer_Since]],Sales_Data[[#This Row],[Date]],"d")</f>
        <v>1115</v>
      </c>
      <c r="R137" s="8">
        <f t="shared" si="12"/>
        <v>45596</v>
      </c>
      <c r="S137" s="9" t="str">
        <f t="shared" si="13"/>
        <v>Oct-24</v>
      </c>
      <c r="T137" s="9">
        <f>COUNTIF(Sales_Data[Product_Name],F137)</f>
        <v>16</v>
      </c>
      <c r="U137" s="9">
        <f>COUNTIF(Sales_Data[Customer_ID],C137)</f>
        <v>6</v>
      </c>
      <c r="V137" s="9" t="str">
        <f t="shared" si="14"/>
        <v>KB</v>
      </c>
    </row>
    <row r="138" spans="1:22" ht="15.75" customHeight="1" x14ac:dyDescent="0.3">
      <c r="A138" s="2" t="s">
        <v>274</v>
      </c>
      <c r="B138" s="3">
        <v>45588</v>
      </c>
      <c r="C138" s="2" t="s">
        <v>154</v>
      </c>
      <c r="D138" s="2" t="s">
        <v>155</v>
      </c>
      <c r="E138" s="2" t="s">
        <v>80</v>
      </c>
      <c r="F138" s="2" t="s">
        <v>81</v>
      </c>
      <c r="G138" s="2" t="s">
        <v>19</v>
      </c>
      <c r="H138" s="2">
        <v>2</v>
      </c>
      <c r="I138" s="4">
        <v>699.99</v>
      </c>
      <c r="J138" s="2" t="s">
        <v>20</v>
      </c>
      <c r="K138" s="2" t="s">
        <v>21</v>
      </c>
      <c r="L138" s="2" t="s">
        <v>22</v>
      </c>
      <c r="M138" s="3">
        <v>44992</v>
      </c>
      <c r="N138" s="4">
        <v>1399.98</v>
      </c>
      <c r="O138" s="5">
        <f t="shared" ca="1" si="10"/>
        <v>46301.61373611111</v>
      </c>
      <c r="P138" s="6">
        <f t="shared" ca="1" si="11"/>
        <v>46302</v>
      </c>
      <c r="Q138" s="7">
        <f>DATEDIF(Sales_Data[[#This Row],[Customer_Since]],Sales_Data[[#This Row],[Date]],"d")</f>
        <v>596</v>
      </c>
      <c r="R138" s="8">
        <f t="shared" si="12"/>
        <v>45596</v>
      </c>
      <c r="S138" s="9" t="str">
        <f t="shared" si="13"/>
        <v>Oct-24</v>
      </c>
      <c r="T138" s="9">
        <f>COUNTIF(Sales_Data[Product_Name],F138)</f>
        <v>31</v>
      </c>
      <c r="U138" s="9">
        <f>COUNTIF(Sales_Data[Customer_ID],C138)</f>
        <v>5</v>
      </c>
      <c r="V138" s="9" t="str">
        <f t="shared" si="14"/>
        <v>SD</v>
      </c>
    </row>
    <row r="139" spans="1:22" ht="15.75" customHeight="1" x14ac:dyDescent="0.3">
      <c r="A139" s="2" t="s">
        <v>275</v>
      </c>
      <c r="B139" s="3">
        <v>45589</v>
      </c>
      <c r="C139" s="2" t="s">
        <v>158</v>
      </c>
      <c r="D139" s="2" t="s">
        <v>159</v>
      </c>
      <c r="E139" s="2" t="s">
        <v>80</v>
      </c>
      <c r="F139" s="2" t="s">
        <v>81</v>
      </c>
      <c r="G139" s="2" t="s">
        <v>19</v>
      </c>
      <c r="H139" s="2">
        <v>5</v>
      </c>
      <c r="I139" s="4">
        <v>699.99</v>
      </c>
      <c r="J139" s="2" t="s">
        <v>20</v>
      </c>
      <c r="K139" s="2" t="s">
        <v>40</v>
      </c>
      <c r="L139" s="2" t="s">
        <v>27</v>
      </c>
      <c r="M139" s="3">
        <v>44635</v>
      </c>
      <c r="N139" s="4">
        <v>3499.95</v>
      </c>
      <c r="O139" s="5">
        <f t="shared" ca="1" si="10"/>
        <v>46301.61373611111</v>
      </c>
      <c r="P139" s="6">
        <f t="shared" ca="1" si="11"/>
        <v>46302</v>
      </c>
      <c r="Q139" s="7">
        <f>DATEDIF(Sales_Data[[#This Row],[Customer_Since]],Sales_Data[[#This Row],[Date]],"d")</f>
        <v>954</v>
      </c>
      <c r="R139" s="8">
        <f t="shared" si="12"/>
        <v>45596</v>
      </c>
      <c r="S139" s="9" t="str">
        <f t="shared" si="13"/>
        <v>Oct-24</v>
      </c>
      <c r="T139" s="9">
        <f>COUNTIF(Sales_Data[Product_Name],F139)</f>
        <v>31</v>
      </c>
      <c r="U139" s="9">
        <f>COUNTIF(Sales_Data[Customer_ID],C139)</f>
        <v>5</v>
      </c>
      <c r="V139" s="9" t="str">
        <f t="shared" si="14"/>
        <v>BC</v>
      </c>
    </row>
    <row r="140" spans="1:22" ht="15.75" customHeight="1" x14ac:dyDescent="0.3">
      <c r="A140" s="2" t="s">
        <v>276</v>
      </c>
      <c r="B140" s="3">
        <v>45592</v>
      </c>
      <c r="C140" s="2" t="s">
        <v>171</v>
      </c>
      <c r="D140" s="2" t="s">
        <v>172</v>
      </c>
      <c r="E140" s="2" t="s">
        <v>117</v>
      </c>
      <c r="F140" s="2" t="s">
        <v>118</v>
      </c>
      <c r="G140" s="2" t="s">
        <v>19</v>
      </c>
      <c r="H140" s="2">
        <v>3</v>
      </c>
      <c r="I140" s="4">
        <v>89.99</v>
      </c>
      <c r="J140" s="2" t="s">
        <v>26</v>
      </c>
      <c r="K140" s="2" t="s">
        <v>40</v>
      </c>
      <c r="L140" s="2" t="s">
        <v>36</v>
      </c>
      <c r="M140" s="3">
        <v>44615</v>
      </c>
      <c r="N140" s="4">
        <v>269.97000000000003</v>
      </c>
      <c r="O140" s="5">
        <f t="shared" ca="1" si="10"/>
        <v>46301.61373611111</v>
      </c>
      <c r="P140" s="6">
        <f t="shared" ca="1" si="11"/>
        <v>46302</v>
      </c>
      <c r="Q140" s="7">
        <f>DATEDIF(Sales_Data[[#This Row],[Customer_Since]],Sales_Data[[#This Row],[Date]],"d")</f>
        <v>977</v>
      </c>
      <c r="R140" s="8">
        <f t="shared" si="12"/>
        <v>45596</v>
      </c>
      <c r="S140" s="9" t="str">
        <f t="shared" si="13"/>
        <v>Oct-24</v>
      </c>
      <c r="T140" s="9">
        <f>COUNTIF(Sales_Data[Product_Name],F140)</f>
        <v>34</v>
      </c>
      <c r="U140" s="9">
        <f>COUNTIF(Sales_Data[Customer_ID],C140)</f>
        <v>4</v>
      </c>
      <c r="V140" s="9" t="str">
        <f t="shared" si="14"/>
        <v>RR</v>
      </c>
    </row>
    <row r="141" spans="1:22" ht="15.75" customHeight="1" x14ac:dyDescent="0.3">
      <c r="A141" s="2" t="s">
        <v>277</v>
      </c>
      <c r="B141" s="3">
        <v>45597</v>
      </c>
      <c r="C141" s="2" t="s">
        <v>15</v>
      </c>
      <c r="D141" s="2" t="s">
        <v>16</v>
      </c>
      <c r="E141" s="2" t="s">
        <v>17</v>
      </c>
      <c r="F141" s="2" t="s">
        <v>18</v>
      </c>
      <c r="G141" s="2" t="s">
        <v>19</v>
      </c>
      <c r="H141" s="2">
        <v>5</v>
      </c>
      <c r="I141" s="4">
        <v>249.99</v>
      </c>
      <c r="J141" s="2" t="s">
        <v>26</v>
      </c>
      <c r="K141" s="2" t="s">
        <v>35</v>
      </c>
      <c r="L141" s="2" t="s">
        <v>36</v>
      </c>
      <c r="M141" s="3">
        <v>44881</v>
      </c>
      <c r="N141" s="4">
        <v>1249.95</v>
      </c>
      <c r="O141" s="5">
        <f t="shared" ca="1" si="10"/>
        <v>46301.61373611111</v>
      </c>
      <c r="P141" s="6">
        <f t="shared" ca="1" si="11"/>
        <v>46302</v>
      </c>
      <c r="Q141" s="7">
        <f>DATEDIF(Sales_Data[[#This Row],[Customer_Since]],Sales_Data[[#This Row],[Date]],"d")</f>
        <v>716</v>
      </c>
      <c r="R141" s="8">
        <f t="shared" si="12"/>
        <v>45626</v>
      </c>
      <c r="S141" s="9" t="str">
        <f t="shared" si="13"/>
        <v>Nov-24</v>
      </c>
      <c r="T141" s="9">
        <f>COUNTIF(Sales_Data[Product_Name],F141)</f>
        <v>26</v>
      </c>
      <c r="U141" s="9">
        <f>COUNTIF(Sales_Data[Customer_ID],C141)</f>
        <v>8</v>
      </c>
      <c r="V141" s="9" t="str">
        <f t="shared" si="14"/>
        <v>PB</v>
      </c>
    </row>
    <row r="142" spans="1:22" ht="15.75" customHeight="1" x14ac:dyDescent="0.3">
      <c r="A142" s="2" t="s">
        <v>278</v>
      </c>
      <c r="B142" s="3">
        <v>45600</v>
      </c>
      <c r="C142" s="2" t="s">
        <v>65</v>
      </c>
      <c r="D142" s="2" t="s">
        <v>66</v>
      </c>
      <c r="E142" s="2" t="s">
        <v>105</v>
      </c>
      <c r="F142" s="2" t="s">
        <v>106</v>
      </c>
      <c r="G142" s="2" t="s">
        <v>46</v>
      </c>
      <c r="H142" s="2">
        <v>3</v>
      </c>
      <c r="I142" s="4">
        <v>299.99</v>
      </c>
      <c r="J142" s="2" t="s">
        <v>26</v>
      </c>
      <c r="K142" s="2" t="s">
        <v>35</v>
      </c>
      <c r="L142" s="2" t="s">
        <v>36</v>
      </c>
      <c r="M142" s="3">
        <v>44502</v>
      </c>
      <c r="N142" s="4">
        <v>899.97</v>
      </c>
      <c r="O142" s="5">
        <f t="shared" ca="1" si="10"/>
        <v>46301.61373611111</v>
      </c>
      <c r="P142" s="6">
        <f t="shared" ca="1" si="11"/>
        <v>46302</v>
      </c>
      <c r="Q142" s="7">
        <f>DATEDIF(Sales_Data[[#This Row],[Customer_Since]],Sales_Data[[#This Row],[Date]],"d")</f>
        <v>1098</v>
      </c>
      <c r="R142" s="8">
        <f t="shared" si="12"/>
        <v>45626</v>
      </c>
      <c r="S142" s="9" t="str">
        <f t="shared" si="13"/>
        <v>Nov-24</v>
      </c>
      <c r="T142" s="9">
        <f>COUNTIF(Sales_Data[Product_Name],F142)</f>
        <v>26</v>
      </c>
      <c r="U142" s="9">
        <f>COUNTIF(Sales_Data[Customer_ID],C142)</f>
        <v>8</v>
      </c>
      <c r="V142" s="9" t="str">
        <f t="shared" si="14"/>
        <v>KH</v>
      </c>
    </row>
    <row r="143" spans="1:22" ht="15.75" customHeight="1" x14ac:dyDescent="0.3">
      <c r="A143" s="2" t="s">
        <v>279</v>
      </c>
      <c r="B143" s="3">
        <v>45603</v>
      </c>
      <c r="C143" s="2" t="s">
        <v>99</v>
      </c>
      <c r="D143" s="2" t="s">
        <v>100</v>
      </c>
      <c r="E143" s="2" t="s">
        <v>117</v>
      </c>
      <c r="F143" s="2" t="s">
        <v>118</v>
      </c>
      <c r="G143" s="2" t="s">
        <v>19</v>
      </c>
      <c r="H143" s="2">
        <v>3</v>
      </c>
      <c r="I143" s="4">
        <v>89.99</v>
      </c>
      <c r="J143" s="2" t="s">
        <v>26</v>
      </c>
      <c r="K143" s="2" t="s">
        <v>40</v>
      </c>
      <c r="L143" s="2" t="s">
        <v>27</v>
      </c>
      <c r="M143" s="3">
        <v>44420</v>
      </c>
      <c r="N143" s="4">
        <v>269.97000000000003</v>
      </c>
      <c r="O143" s="5">
        <f t="shared" ca="1" si="10"/>
        <v>46301.61373611111</v>
      </c>
      <c r="P143" s="6">
        <f t="shared" ca="1" si="11"/>
        <v>46302</v>
      </c>
      <c r="Q143" s="7">
        <f>DATEDIF(Sales_Data[[#This Row],[Customer_Since]],Sales_Data[[#This Row],[Date]],"d")</f>
        <v>1183</v>
      </c>
      <c r="R143" s="8">
        <f t="shared" si="12"/>
        <v>45626</v>
      </c>
      <c r="S143" s="9" t="str">
        <f t="shared" si="13"/>
        <v>Nov-24</v>
      </c>
      <c r="T143" s="9">
        <f>COUNTIF(Sales_Data[Product_Name],F143)</f>
        <v>34</v>
      </c>
      <c r="U143" s="9">
        <f>COUNTIF(Sales_Data[Customer_ID],C143)</f>
        <v>8</v>
      </c>
      <c r="V143" s="9" t="str">
        <f t="shared" si="14"/>
        <v>PM</v>
      </c>
    </row>
    <row r="144" spans="1:22" ht="15.75" customHeight="1" x14ac:dyDescent="0.3">
      <c r="A144" s="2" t="s">
        <v>280</v>
      </c>
      <c r="B144" s="3">
        <v>45604</v>
      </c>
      <c r="C144" s="2" t="s">
        <v>89</v>
      </c>
      <c r="D144" s="2" t="s">
        <v>90</v>
      </c>
      <c r="E144" s="2" t="s">
        <v>44</v>
      </c>
      <c r="F144" s="2" t="s">
        <v>45</v>
      </c>
      <c r="G144" s="2" t="s">
        <v>46</v>
      </c>
      <c r="H144" s="2">
        <v>2</v>
      </c>
      <c r="I144" s="4">
        <v>149.99</v>
      </c>
      <c r="J144" s="2" t="s">
        <v>26</v>
      </c>
      <c r="K144" s="2" t="s">
        <v>50</v>
      </c>
      <c r="L144" s="2" t="s">
        <v>27</v>
      </c>
      <c r="M144" s="3">
        <v>44848</v>
      </c>
      <c r="N144" s="4">
        <v>299.98</v>
      </c>
      <c r="O144" s="5">
        <f t="shared" ca="1" si="10"/>
        <v>46301.61373611111</v>
      </c>
      <c r="P144" s="6">
        <f t="shared" ca="1" si="11"/>
        <v>46302</v>
      </c>
      <c r="Q144" s="7">
        <f>DATEDIF(Sales_Data[[#This Row],[Customer_Since]],Sales_Data[[#This Row],[Date]],"d")</f>
        <v>756</v>
      </c>
      <c r="R144" s="8">
        <f t="shared" si="12"/>
        <v>45626</v>
      </c>
      <c r="S144" s="9" t="str">
        <f t="shared" si="13"/>
        <v>Nov-24</v>
      </c>
      <c r="T144" s="9">
        <f>COUNTIF(Sales_Data[Product_Name],F144)</f>
        <v>35</v>
      </c>
      <c r="U144" s="9">
        <f>COUNTIF(Sales_Data[Customer_ID],C144)</f>
        <v>4</v>
      </c>
      <c r="V144" s="9" t="str">
        <f t="shared" si="14"/>
        <v>MG</v>
      </c>
    </row>
    <row r="145" spans="1:22" ht="15.75" customHeight="1" x14ac:dyDescent="0.3">
      <c r="A145" s="2" t="s">
        <v>281</v>
      </c>
      <c r="B145" s="3">
        <v>45605</v>
      </c>
      <c r="C145" s="2" t="s">
        <v>185</v>
      </c>
      <c r="D145" s="2" t="s">
        <v>186</v>
      </c>
      <c r="E145" s="2" t="s">
        <v>17</v>
      </c>
      <c r="F145" s="2" t="s">
        <v>18</v>
      </c>
      <c r="G145" s="2" t="s">
        <v>19</v>
      </c>
      <c r="H145" s="2">
        <v>1</v>
      </c>
      <c r="I145" s="4">
        <v>249.99</v>
      </c>
      <c r="J145" s="2" t="s">
        <v>26</v>
      </c>
      <c r="K145" s="2" t="s">
        <v>40</v>
      </c>
      <c r="L145" s="2" t="s">
        <v>27</v>
      </c>
      <c r="M145" s="3">
        <v>44828</v>
      </c>
      <c r="N145" s="4">
        <v>249.99</v>
      </c>
      <c r="O145" s="5">
        <f t="shared" ca="1" si="10"/>
        <v>46301.61373611111</v>
      </c>
      <c r="P145" s="6">
        <f t="shared" ca="1" si="11"/>
        <v>46302</v>
      </c>
      <c r="Q145" s="7">
        <f>DATEDIF(Sales_Data[[#This Row],[Customer_Since]],Sales_Data[[#This Row],[Date]],"d")</f>
        <v>777</v>
      </c>
      <c r="R145" s="8">
        <f t="shared" si="12"/>
        <v>45626</v>
      </c>
      <c r="S145" s="9" t="str">
        <f t="shared" si="13"/>
        <v>Nov-24</v>
      </c>
      <c r="T145" s="9">
        <f>COUNTIF(Sales_Data[Product_Name],F145)</f>
        <v>26</v>
      </c>
      <c r="U145" s="9">
        <f>COUNTIF(Sales_Data[Customer_ID],C145)</f>
        <v>4</v>
      </c>
      <c r="V145" s="9" t="str">
        <f t="shared" si="14"/>
        <v>MW</v>
      </c>
    </row>
    <row r="146" spans="1:22" ht="15.75" customHeight="1" x14ac:dyDescent="0.3">
      <c r="A146" s="2" t="s">
        <v>282</v>
      </c>
      <c r="B146" s="3">
        <v>45607</v>
      </c>
      <c r="C146" s="2" t="s">
        <v>72</v>
      </c>
      <c r="D146" s="2" t="s">
        <v>73</v>
      </c>
      <c r="E146" s="2" t="s">
        <v>52</v>
      </c>
      <c r="F146" s="2" t="s">
        <v>53</v>
      </c>
      <c r="G146" s="2" t="s">
        <v>19</v>
      </c>
      <c r="H146" s="2">
        <v>3</v>
      </c>
      <c r="I146" s="4">
        <v>149.99</v>
      </c>
      <c r="J146" s="2" t="s">
        <v>20</v>
      </c>
      <c r="K146" s="2" t="s">
        <v>40</v>
      </c>
      <c r="L146" s="2" t="s">
        <v>22</v>
      </c>
      <c r="M146" s="3">
        <v>44769</v>
      </c>
      <c r="N146" s="4">
        <v>449.97</v>
      </c>
      <c r="O146" s="5">
        <f t="shared" ca="1" si="10"/>
        <v>46301.61373611111</v>
      </c>
      <c r="P146" s="6">
        <f t="shared" ca="1" si="11"/>
        <v>46302</v>
      </c>
      <c r="Q146" s="7">
        <f>DATEDIF(Sales_Data[[#This Row],[Customer_Since]],Sales_Data[[#This Row],[Date]],"d")</f>
        <v>838</v>
      </c>
      <c r="R146" s="8">
        <f t="shared" si="12"/>
        <v>45626</v>
      </c>
      <c r="S146" s="9" t="str">
        <f t="shared" si="13"/>
        <v>Nov-24</v>
      </c>
      <c r="T146" s="9">
        <f>COUNTIF(Sales_Data[Product_Name],F146)</f>
        <v>16</v>
      </c>
      <c r="U146" s="9">
        <f>COUNTIF(Sales_Data[Customer_ID],C146)</f>
        <v>5</v>
      </c>
      <c r="V146" s="9" t="str">
        <f t="shared" si="14"/>
        <v>PR</v>
      </c>
    </row>
    <row r="147" spans="1:22" ht="15.75" customHeight="1" x14ac:dyDescent="0.3">
      <c r="A147" s="2" t="s">
        <v>283</v>
      </c>
      <c r="B147" s="3">
        <v>45607</v>
      </c>
      <c r="C147" s="2" t="s">
        <v>15</v>
      </c>
      <c r="D147" s="2" t="s">
        <v>16</v>
      </c>
      <c r="E147" s="2" t="s">
        <v>31</v>
      </c>
      <c r="F147" s="2" t="s">
        <v>32</v>
      </c>
      <c r="G147" s="2" t="s">
        <v>33</v>
      </c>
      <c r="H147" s="2">
        <v>5</v>
      </c>
      <c r="I147" s="4">
        <v>59.99</v>
      </c>
      <c r="J147" s="2" t="s">
        <v>34</v>
      </c>
      <c r="K147" s="2" t="s">
        <v>50</v>
      </c>
      <c r="L147" s="2" t="s">
        <v>27</v>
      </c>
      <c r="M147" s="3">
        <v>44694</v>
      </c>
      <c r="N147" s="4">
        <v>299.95</v>
      </c>
      <c r="O147" s="5">
        <f t="shared" ca="1" si="10"/>
        <v>46301.61373611111</v>
      </c>
      <c r="P147" s="6">
        <f t="shared" ca="1" si="11"/>
        <v>46302</v>
      </c>
      <c r="Q147" s="7">
        <f>DATEDIF(Sales_Data[[#This Row],[Customer_Since]],Sales_Data[[#This Row],[Date]],"d")</f>
        <v>913</v>
      </c>
      <c r="R147" s="8">
        <f t="shared" si="12"/>
        <v>45626</v>
      </c>
      <c r="S147" s="9" t="str">
        <f t="shared" si="13"/>
        <v>Nov-24</v>
      </c>
      <c r="T147" s="9">
        <f>COUNTIF(Sales_Data[Product_Name],F147)</f>
        <v>29</v>
      </c>
      <c r="U147" s="9">
        <f>COUNTIF(Sales_Data[Customer_ID],C147)</f>
        <v>8</v>
      </c>
      <c r="V147" s="9" t="str">
        <f t="shared" si="14"/>
        <v>PB</v>
      </c>
    </row>
    <row r="148" spans="1:22" ht="15.75" customHeight="1" x14ac:dyDescent="0.3">
      <c r="A148" s="2" t="s">
        <v>284</v>
      </c>
      <c r="B148" s="3">
        <v>45607</v>
      </c>
      <c r="C148" s="2" t="s">
        <v>99</v>
      </c>
      <c r="D148" s="2" t="s">
        <v>100</v>
      </c>
      <c r="E148" s="2" t="s">
        <v>17</v>
      </c>
      <c r="F148" s="2" t="s">
        <v>18</v>
      </c>
      <c r="G148" s="2" t="s">
        <v>19</v>
      </c>
      <c r="H148" s="2">
        <v>4</v>
      </c>
      <c r="I148" s="4">
        <v>249.99</v>
      </c>
      <c r="J148" s="2" t="s">
        <v>26</v>
      </c>
      <c r="K148" s="2" t="s">
        <v>50</v>
      </c>
      <c r="L148" s="2" t="s">
        <v>36</v>
      </c>
      <c r="M148" s="3">
        <v>44659</v>
      </c>
      <c r="N148" s="4">
        <v>999.96</v>
      </c>
      <c r="O148" s="5">
        <f t="shared" ca="1" si="10"/>
        <v>46301.61373611111</v>
      </c>
      <c r="P148" s="6">
        <f t="shared" ca="1" si="11"/>
        <v>46302</v>
      </c>
      <c r="Q148" s="7">
        <f>DATEDIF(Sales_Data[[#This Row],[Customer_Since]],Sales_Data[[#This Row],[Date]],"d")</f>
        <v>948</v>
      </c>
      <c r="R148" s="8">
        <f t="shared" si="12"/>
        <v>45626</v>
      </c>
      <c r="S148" s="9" t="str">
        <f t="shared" si="13"/>
        <v>Nov-24</v>
      </c>
      <c r="T148" s="9">
        <f>COUNTIF(Sales_Data[Product_Name],F148)</f>
        <v>26</v>
      </c>
      <c r="U148" s="9">
        <f>COUNTIF(Sales_Data[Customer_ID],C148)</f>
        <v>8</v>
      </c>
      <c r="V148" s="9" t="str">
        <f t="shared" si="14"/>
        <v>PM</v>
      </c>
    </row>
    <row r="149" spans="1:22" ht="15.75" customHeight="1" x14ac:dyDescent="0.3">
      <c r="A149" s="2" t="s">
        <v>285</v>
      </c>
      <c r="B149" s="3">
        <v>45608</v>
      </c>
      <c r="C149" s="2" t="s">
        <v>154</v>
      </c>
      <c r="D149" s="2" t="s">
        <v>155</v>
      </c>
      <c r="E149" s="2" t="s">
        <v>44</v>
      </c>
      <c r="F149" s="2" t="s">
        <v>45</v>
      </c>
      <c r="G149" s="2" t="s">
        <v>46</v>
      </c>
      <c r="H149" s="2">
        <v>5</v>
      </c>
      <c r="I149" s="4">
        <v>149.99</v>
      </c>
      <c r="J149" s="2" t="s">
        <v>34</v>
      </c>
      <c r="K149" s="2" t="s">
        <v>21</v>
      </c>
      <c r="L149" s="2" t="s">
        <v>22</v>
      </c>
      <c r="M149" s="3">
        <v>44901</v>
      </c>
      <c r="N149" s="4">
        <v>749.95</v>
      </c>
      <c r="O149" s="5">
        <f t="shared" ca="1" si="10"/>
        <v>46301.61373611111</v>
      </c>
      <c r="P149" s="6">
        <f t="shared" ca="1" si="11"/>
        <v>46302</v>
      </c>
      <c r="Q149" s="7">
        <f>DATEDIF(Sales_Data[[#This Row],[Customer_Since]],Sales_Data[[#This Row],[Date]],"d")</f>
        <v>707</v>
      </c>
      <c r="R149" s="8">
        <f t="shared" si="12"/>
        <v>45626</v>
      </c>
      <c r="S149" s="9" t="str">
        <f t="shared" si="13"/>
        <v>Nov-24</v>
      </c>
      <c r="T149" s="9">
        <f>COUNTIF(Sales_Data[Product_Name],F149)</f>
        <v>35</v>
      </c>
      <c r="U149" s="9">
        <f>COUNTIF(Sales_Data[Customer_ID],C149)</f>
        <v>5</v>
      </c>
      <c r="V149" s="9" t="str">
        <f t="shared" si="14"/>
        <v>SD</v>
      </c>
    </row>
    <row r="150" spans="1:22" ht="15.75" customHeight="1" x14ac:dyDescent="0.3">
      <c r="A150" s="2" t="s">
        <v>286</v>
      </c>
      <c r="B150" s="3">
        <v>45608</v>
      </c>
      <c r="C150" s="2" t="s">
        <v>83</v>
      </c>
      <c r="D150" s="2" t="s">
        <v>84</v>
      </c>
      <c r="E150" s="2" t="s">
        <v>31</v>
      </c>
      <c r="F150" s="2" t="s">
        <v>32</v>
      </c>
      <c r="G150" s="2" t="s">
        <v>33</v>
      </c>
      <c r="H150" s="2">
        <v>3</v>
      </c>
      <c r="I150" s="4">
        <v>59.99</v>
      </c>
      <c r="J150" s="2" t="s">
        <v>57</v>
      </c>
      <c r="K150" s="2" t="s">
        <v>35</v>
      </c>
      <c r="L150" s="2" t="s">
        <v>36</v>
      </c>
      <c r="M150" s="3">
        <v>45260</v>
      </c>
      <c r="N150" s="4">
        <v>179.97</v>
      </c>
      <c r="O150" s="5">
        <f t="shared" ca="1" si="10"/>
        <v>46301.61373611111</v>
      </c>
      <c r="P150" s="6">
        <f t="shared" ca="1" si="11"/>
        <v>46302</v>
      </c>
      <c r="Q150" s="7">
        <f>DATEDIF(Sales_Data[[#This Row],[Customer_Since]],Sales_Data[[#This Row],[Date]],"d")</f>
        <v>348</v>
      </c>
      <c r="R150" s="8">
        <f t="shared" si="12"/>
        <v>45626</v>
      </c>
      <c r="S150" s="9" t="str">
        <f t="shared" si="13"/>
        <v>Nov-24</v>
      </c>
      <c r="T150" s="9">
        <f>COUNTIF(Sales_Data[Product_Name],F150)</f>
        <v>29</v>
      </c>
      <c r="U150" s="9">
        <f>COUNTIF(Sales_Data[Customer_ID],C150)</f>
        <v>3</v>
      </c>
      <c r="V150" s="9" t="str">
        <f t="shared" si="14"/>
        <v>GA</v>
      </c>
    </row>
    <row r="151" spans="1:22" ht="15.75" customHeight="1" x14ac:dyDescent="0.3">
      <c r="A151" s="2" t="s">
        <v>287</v>
      </c>
      <c r="B151" s="3">
        <v>45613</v>
      </c>
      <c r="C151" s="2" t="s">
        <v>234</v>
      </c>
      <c r="D151" s="2" t="s">
        <v>235</v>
      </c>
      <c r="E151" s="2" t="s">
        <v>44</v>
      </c>
      <c r="F151" s="2" t="s">
        <v>45</v>
      </c>
      <c r="G151" s="2" t="s">
        <v>46</v>
      </c>
      <c r="H151" s="2">
        <v>5</v>
      </c>
      <c r="I151" s="4">
        <v>149.99</v>
      </c>
      <c r="J151" s="2" t="s">
        <v>20</v>
      </c>
      <c r="K151" s="2" t="s">
        <v>40</v>
      </c>
      <c r="L151" s="2" t="s">
        <v>22</v>
      </c>
      <c r="M151" s="3">
        <v>44869</v>
      </c>
      <c r="N151" s="4">
        <v>749.95</v>
      </c>
      <c r="O151" s="5">
        <f t="shared" ca="1" si="10"/>
        <v>46301.61373611111</v>
      </c>
      <c r="P151" s="6">
        <f t="shared" ca="1" si="11"/>
        <v>46302</v>
      </c>
      <c r="Q151" s="7">
        <f>DATEDIF(Sales_Data[[#This Row],[Customer_Since]],Sales_Data[[#This Row],[Date]],"d")</f>
        <v>744</v>
      </c>
      <c r="R151" s="8">
        <f t="shared" si="12"/>
        <v>45626</v>
      </c>
      <c r="S151" s="9" t="str">
        <f t="shared" si="13"/>
        <v>Nov-24</v>
      </c>
      <c r="T151" s="9">
        <f>COUNTIF(Sales_Data[Product_Name],F151)</f>
        <v>35</v>
      </c>
      <c r="U151" s="9">
        <f>COUNTIF(Sales_Data[Customer_ID],C151)</f>
        <v>5</v>
      </c>
      <c r="V151" s="9" t="str">
        <f t="shared" si="14"/>
        <v>SP</v>
      </c>
    </row>
    <row r="152" spans="1:22" ht="15.75" customHeight="1" x14ac:dyDescent="0.3">
      <c r="A152" s="2" t="s">
        <v>288</v>
      </c>
      <c r="B152" s="3">
        <v>45613</v>
      </c>
      <c r="C152" s="2" t="s">
        <v>86</v>
      </c>
      <c r="D152" s="2" t="s">
        <v>87</v>
      </c>
      <c r="E152" s="2" t="s">
        <v>80</v>
      </c>
      <c r="F152" s="2" t="s">
        <v>81</v>
      </c>
      <c r="G152" s="2" t="s">
        <v>19</v>
      </c>
      <c r="H152" s="2">
        <v>2</v>
      </c>
      <c r="I152" s="4">
        <v>699.99</v>
      </c>
      <c r="J152" s="2" t="s">
        <v>34</v>
      </c>
      <c r="K152" s="2" t="s">
        <v>50</v>
      </c>
      <c r="L152" s="2" t="s">
        <v>36</v>
      </c>
      <c r="M152" s="3">
        <v>44770</v>
      </c>
      <c r="N152" s="4">
        <v>1399.98</v>
      </c>
      <c r="O152" s="5">
        <f t="shared" ca="1" si="10"/>
        <v>46301.61373611111</v>
      </c>
      <c r="P152" s="6">
        <f t="shared" ca="1" si="11"/>
        <v>46302</v>
      </c>
      <c r="Q152" s="7">
        <f>DATEDIF(Sales_Data[[#This Row],[Customer_Since]],Sales_Data[[#This Row],[Date]],"d")</f>
        <v>843</v>
      </c>
      <c r="R152" s="8">
        <f t="shared" si="12"/>
        <v>45626</v>
      </c>
      <c r="S152" s="9" t="str">
        <f t="shared" si="13"/>
        <v>Nov-24</v>
      </c>
      <c r="T152" s="9">
        <f>COUNTIF(Sales_Data[Product_Name],F152)</f>
        <v>31</v>
      </c>
      <c r="U152" s="9">
        <f>COUNTIF(Sales_Data[Customer_ID],C152)</f>
        <v>12</v>
      </c>
      <c r="V152" s="9" t="str">
        <f t="shared" si="14"/>
        <v>MC</v>
      </c>
    </row>
    <row r="153" spans="1:22" ht="15.75" customHeight="1" x14ac:dyDescent="0.3">
      <c r="A153" s="2" t="s">
        <v>289</v>
      </c>
      <c r="B153" s="3">
        <v>45617</v>
      </c>
      <c r="C153" s="2" t="s">
        <v>123</v>
      </c>
      <c r="D153" s="2" t="s">
        <v>124</v>
      </c>
      <c r="E153" s="2" t="s">
        <v>126</v>
      </c>
      <c r="F153" s="2" t="s">
        <v>127</v>
      </c>
      <c r="G153" s="2" t="s">
        <v>46</v>
      </c>
      <c r="H153" s="2">
        <v>4</v>
      </c>
      <c r="I153" s="4">
        <v>199.99</v>
      </c>
      <c r="J153" s="2" t="s">
        <v>57</v>
      </c>
      <c r="K153" s="2" t="s">
        <v>21</v>
      </c>
      <c r="L153" s="2" t="s">
        <v>27</v>
      </c>
      <c r="M153" s="3">
        <v>44427</v>
      </c>
      <c r="N153" s="4">
        <v>799.96</v>
      </c>
      <c r="O153" s="5">
        <f t="shared" ca="1" si="10"/>
        <v>46301.61373611111</v>
      </c>
      <c r="P153" s="6">
        <f t="shared" ca="1" si="11"/>
        <v>46302</v>
      </c>
      <c r="Q153" s="7">
        <f>DATEDIF(Sales_Data[[#This Row],[Customer_Since]],Sales_Data[[#This Row],[Date]],"d")</f>
        <v>1190</v>
      </c>
      <c r="R153" s="8">
        <f t="shared" si="12"/>
        <v>45626</v>
      </c>
      <c r="S153" s="9" t="str">
        <f t="shared" si="13"/>
        <v>Nov-24</v>
      </c>
      <c r="T153" s="9">
        <f>COUNTIF(Sales_Data[Product_Name],F153)</f>
        <v>15</v>
      </c>
      <c r="U153" s="9">
        <f>COUNTIF(Sales_Data[Customer_ID],C153)</f>
        <v>6</v>
      </c>
      <c r="V153" s="9" t="str">
        <f t="shared" si="14"/>
        <v>EM</v>
      </c>
    </row>
    <row r="154" spans="1:22" ht="15.75" customHeight="1" x14ac:dyDescent="0.3">
      <c r="A154" s="2" t="s">
        <v>290</v>
      </c>
      <c r="B154" s="3">
        <v>45619</v>
      </c>
      <c r="C154" s="2" t="s">
        <v>192</v>
      </c>
      <c r="D154" s="2" t="s">
        <v>193</v>
      </c>
      <c r="E154" s="2" t="s">
        <v>31</v>
      </c>
      <c r="F154" s="2" t="s">
        <v>32</v>
      </c>
      <c r="G154" s="2" t="s">
        <v>33</v>
      </c>
      <c r="H154" s="2">
        <v>1</v>
      </c>
      <c r="I154" s="4">
        <v>59.99</v>
      </c>
      <c r="J154" s="2" t="s">
        <v>57</v>
      </c>
      <c r="K154" s="2" t="s">
        <v>50</v>
      </c>
      <c r="L154" s="2" t="s">
        <v>36</v>
      </c>
      <c r="M154" s="3">
        <v>44560</v>
      </c>
      <c r="N154" s="4">
        <v>59.99</v>
      </c>
      <c r="O154" s="5">
        <f t="shared" ca="1" si="10"/>
        <v>46301.61373611111</v>
      </c>
      <c r="P154" s="6">
        <f t="shared" ca="1" si="11"/>
        <v>46302</v>
      </c>
      <c r="Q154" s="7">
        <f>DATEDIF(Sales_Data[[#This Row],[Customer_Since]],Sales_Data[[#This Row],[Date]],"d")</f>
        <v>1059</v>
      </c>
      <c r="R154" s="8">
        <f t="shared" si="12"/>
        <v>45626</v>
      </c>
      <c r="S154" s="9" t="str">
        <f t="shared" si="13"/>
        <v>Nov-24</v>
      </c>
      <c r="T154" s="9">
        <f>COUNTIF(Sales_Data[Product_Name],F154)</f>
        <v>29</v>
      </c>
      <c r="U154" s="9">
        <f>COUNTIF(Sales_Data[Customer_ID],C154)</f>
        <v>5</v>
      </c>
      <c r="V154" s="9" t="str">
        <f t="shared" si="14"/>
        <v>FT</v>
      </c>
    </row>
    <row r="155" spans="1:22" ht="15.75" customHeight="1" x14ac:dyDescent="0.3">
      <c r="A155" s="2" t="s">
        <v>291</v>
      </c>
      <c r="B155" s="3">
        <v>45619</v>
      </c>
      <c r="C155" s="2" t="s">
        <v>154</v>
      </c>
      <c r="D155" s="2" t="s">
        <v>155</v>
      </c>
      <c r="E155" s="2" t="s">
        <v>80</v>
      </c>
      <c r="F155" s="2" t="s">
        <v>81</v>
      </c>
      <c r="G155" s="2" t="s">
        <v>19</v>
      </c>
      <c r="H155" s="2">
        <v>3</v>
      </c>
      <c r="I155" s="4">
        <v>699.99</v>
      </c>
      <c r="J155" s="2" t="s">
        <v>34</v>
      </c>
      <c r="K155" s="2" t="s">
        <v>50</v>
      </c>
      <c r="L155" s="2" t="s">
        <v>36</v>
      </c>
      <c r="M155" s="3">
        <v>44583</v>
      </c>
      <c r="N155" s="4">
        <v>2099.9699999999998</v>
      </c>
      <c r="O155" s="5">
        <f t="shared" ca="1" si="10"/>
        <v>46301.61373611111</v>
      </c>
      <c r="P155" s="6">
        <f t="shared" ca="1" si="11"/>
        <v>46302</v>
      </c>
      <c r="Q155" s="7">
        <f>DATEDIF(Sales_Data[[#This Row],[Customer_Since]],Sales_Data[[#This Row],[Date]],"d")</f>
        <v>1036</v>
      </c>
      <c r="R155" s="8">
        <f t="shared" si="12"/>
        <v>45626</v>
      </c>
      <c r="S155" s="9" t="str">
        <f t="shared" si="13"/>
        <v>Nov-24</v>
      </c>
      <c r="T155" s="9">
        <f>COUNTIF(Sales_Data[Product_Name],F155)</f>
        <v>31</v>
      </c>
      <c r="U155" s="9">
        <f>COUNTIF(Sales_Data[Customer_ID],C155)</f>
        <v>5</v>
      </c>
      <c r="V155" s="9" t="str">
        <f t="shared" si="14"/>
        <v>SD</v>
      </c>
    </row>
    <row r="156" spans="1:22" ht="15.75" customHeight="1" x14ac:dyDescent="0.3">
      <c r="A156" s="2" t="s">
        <v>292</v>
      </c>
      <c r="B156" s="3">
        <v>45622</v>
      </c>
      <c r="C156" s="2" t="s">
        <v>293</v>
      </c>
      <c r="D156" s="2" t="s">
        <v>294</v>
      </c>
      <c r="E156" s="2" t="s">
        <v>17</v>
      </c>
      <c r="F156" s="2" t="s">
        <v>18</v>
      </c>
      <c r="G156" s="2" t="s">
        <v>19</v>
      </c>
      <c r="H156" s="2">
        <v>5</v>
      </c>
      <c r="I156" s="4">
        <v>249.99</v>
      </c>
      <c r="J156" s="2" t="s">
        <v>26</v>
      </c>
      <c r="K156" s="2" t="s">
        <v>40</v>
      </c>
      <c r="L156" s="2" t="s">
        <v>22</v>
      </c>
      <c r="M156" s="3">
        <v>44873</v>
      </c>
      <c r="N156" s="4">
        <v>1249.95</v>
      </c>
      <c r="O156" s="5">
        <f t="shared" ca="1" si="10"/>
        <v>46301.61373611111</v>
      </c>
      <c r="P156" s="6">
        <f t="shared" ca="1" si="11"/>
        <v>46302</v>
      </c>
      <c r="Q156" s="7">
        <f>DATEDIF(Sales_Data[[#This Row],[Customer_Since]],Sales_Data[[#This Row],[Date]],"d")</f>
        <v>749</v>
      </c>
      <c r="R156" s="8">
        <f t="shared" si="12"/>
        <v>45626</v>
      </c>
      <c r="S156" s="9" t="str">
        <f t="shared" si="13"/>
        <v>Nov-24</v>
      </c>
      <c r="T156" s="9">
        <f>COUNTIF(Sales_Data[Product_Name],F156)</f>
        <v>26</v>
      </c>
      <c r="U156" s="9">
        <f>COUNTIF(Sales_Data[Customer_ID],C156)</f>
        <v>4</v>
      </c>
      <c r="V156" s="9" t="str">
        <f t="shared" si="14"/>
        <v>DW</v>
      </c>
    </row>
    <row r="157" spans="1:22" ht="15.75" customHeight="1" x14ac:dyDescent="0.3">
      <c r="A157" s="2" t="s">
        <v>295</v>
      </c>
      <c r="B157" s="3">
        <v>45623</v>
      </c>
      <c r="C157" s="2" t="s">
        <v>112</v>
      </c>
      <c r="D157" s="2" t="s">
        <v>113</v>
      </c>
      <c r="E157" s="2" t="s">
        <v>44</v>
      </c>
      <c r="F157" s="2" t="s">
        <v>45</v>
      </c>
      <c r="G157" s="2" t="s">
        <v>46</v>
      </c>
      <c r="H157" s="2">
        <v>2</v>
      </c>
      <c r="I157" s="4">
        <v>149.99</v>
      </c>
      <c r="J157" s="2" t="s">
        <v>20</v>
      </c>
      <c r="K157" s="2" t="s">
        <v>35</v>
      </c>
      <c r="L157" s="2" t="s">
        <v>36</v>
      </c>
      <c r="M157" s="3">
        <v>45101</v>
      </c>
      <c r="N157" s="4">
        <v>299.98</v>
      </c>
      <c r="O157" s="5">
        <f t="shared" ca="1" si="10"/>
        <v>46301.61373611111</v>
      </c>
      <c r="P157" s="6">
        <f t="shared" ca="1" si="11"/>
        <v>46302</v>
      </c>
      <c r="Q157" s="7">
        <f>DATEDIF(Sales_Data[[#This Row],[Customer_Since]],Sales_Data[[#This Row],[Date]],"d")</f>
        <v>522</v>
      </c>
      <c r="R157" s="8">
        <f t="shared" si="12"/>
        <v>45626</v>
      </c>
      <c r="S157" s="9" t="str">
        <f t="shared" si="13"/>
        <v>Nov-24</v>
      </c>
      <c r="T157" s="9">
        <f>COUNTIF(Sales_Data[Product_Name],F157)</f>
        <v>35</v>
      </c>
      <c r="U157" s="9">
        <f>COUNTIF(Sales_Data[Customer_ID],C157)</f>
        <v>4</v>
      </c>
      <c r="V157" s="9" t="str">
        <f t="shared" si="14"/>
        <v>LM</v>
      </c>
    </row>
    <row r="158" spans="1:22" ht="15.75" customHeight="1" x14ac:dyDescent="0.3">
      <c r="A158" s="2" t="s">
        <v>296</v>
      </c>
      <c r="B158" s="3">
        <v>45627</v>
      </c>
      <c r="C158" s="2" t="s">
        <v>29</v>
      </c>
      <c r="D158" s="2" t="s">
        <v>30</v>
      </c>
      <c r="E158" s="2" t="s">
        <v>105</v>
      </c>
      <c r="F158" s="2" t="s">
        <v>106</v>
      </c>
      <c r="G158" s="2" t="s">
        <v>46</v>
      </c>
      <c r="H158" s="2">
        <v>3</v>
      </c>
      <c r="I158" s="4">
        <v>299.99</v>
      </c>
      <c r="J158" s="2" t="s">
        <v>20</v>
      </c>
      <c r="K158" s="2" t="s">
        <v>35</v>
      </c>
      <c r="L158" s="2" t="s">
        <v>27</v>
      </c>
      <c r="M158" s="3">
        <v>44659</v>
      </c>
      <c r="N158" s="4">
        <v>899.97</v>
      </c>
      <c r="O158" s="5">
        <f t="shared" ca="1" si="10"/>
        <v>46301.61373611111</v>
      </c>
      <c r="P158" s="6">
        <f t="shared" ca="1" si="11"/>
        <v>46302</v>
      </c>
      <c r="Q158" s="7">
        <f>DATEDIF(Sales_Data[[#This Row],[Customer_Since]],Sales_Data[[#This Row],[Date]],"d")</f>
        <v>968</v>
      </c>
      <c r="R158" s="8">
        <f t="shared" si="12"/>
        <v>45657</v>
      </c>
      <c r="S158" s="9" t="str">
        <f t="shared" si="13"/>
        <v>Dec-24</v>
      </c>
      <c r="T158" s="9">
        <f>COUNTIF(Sales_Data[Product_Name],F158)</f>
        <v>26</v>
      </c>
      <c r="U158" s="9">
        <f>COUNTIF(Sales_Data[Customer_ID],C158)</f>
        <v>6</v>
      </c>
      <c r="V158" s="9" t="str">
        <f t="shared" si="14"/>
        <v>KS</v>
      </c>
    </row>
    <row r="159" spans="1:22" ht="15.75" customHeight="1" x14ac:dyDescent="0.3">
      <c r="A159" s="2" t="s">
        <v>297</v>
      </c>
      <c r="B159" s="3">
        <v>45627</v>
      </c>
      <c r="C159" s="2" t="s">
        <v>55</v>
      </c>
      <c r="D159" s="2" t="s">
        <v>56</v>
      </c>
      <c r="E159" s="2" t="s">
        <v>17</v>
      </c>
      <c r="F159" s="2" t="s">
        <v>18</v>
      </c>
      <c r="G159" s="2" t="s">
        <v>19</v>
      </c>
      <c r="H159" s="2">
        <v>5</v>
      </c>
      <c r="I159" s="4">
        <v>249.99</v>
      </c>
      <c r="J159" s="2" t="s">
        <v>20</v>
      </c>
      <c r="K159" s="2" t="s">
        <v>21</v>
      </c>
      <c r="L159" s="2" t="s">
        <v>27</v>
      </c>
      <c r="M159" s="3">
        <v>44485</v>
      </c>
      <c r="N159" s="4">
        <v>1249.95</v>
      </c>
      <c r="O159" s="5">
        <f t="shared" ca="1" si="10"/>
        <v>46301.61373611111</v>
      </c>
      <c r="P159" s="6">
        <f t="shared" ca="1" si="11"/>
        <v>46302</v>
      </c>
      <c r="Q159" s="7">
        <f>DATEDIF(Sales_Data[[#This Row],[Customer_Since]],Sales_Data[[#This Row],[Date]],"d")</f>
        <v>1142</v>
      </c>
      <c r="R159" s="8">
        <f t="shared" si="12"/>
        <v>45657</v>
      </c>
      <c r="S159" s="9" t="str">
        <f t="shared" si="13"/>
        <v>Dec-24</v>
      </c>
      <c r="T159" s="9">
        <f>COUNTIF(Sales_Data[Product_Name],F159)</f>
        <v>26</v>
      </c>
      <c r="U159" s="9">
        <f>COUNTIF(Sales_Data[Customer_ID],C159)</f>
        <v>9</v>
      </c>
      <c r="V159" s="9" t="str">
        <f t="shared" si="14"/>
        <v>CA</v>
      </c>
    </row>
    <row r="160" spans="1:22" ht="15.75" customHeight="1" x14ac:dyDescent="0.3">
      <c r="A160" s="2" t="s">
        <v>298</v>
      </c>
      <c r="B160" s="3">
        <v>45627</v>
      </c>
      <c r="C160" s="2" t="s">
        <v>24</v>
      </c>
      <c r="D160" s="2" t="s">
        <v>25</v>
      </c>
      <c r="E160" s="2" t="s">
        <v>52</v>
      </c>
      <c r="F160" s="2" t="s">
        <v>53</v>
      </c>
      <c r="G160" s="2" t="s">
        <v>19</v>
      </c>
      <c r="H160" s="2">
        <v>2</v>
      </c>
      <c r="I160" s="4">
        <v>149.99</v>
      </c>
      <c r="J160" s="2" t="s">
        <v>20</v>
      </c>
      <c r="K160" s="2" t="s">
        <v>35</v>
      </c>
      <c r="L160" s="2" t="s">
        <v>27</v>
      </c>
      <c r="M160" s="3">
        <v>44475</v>
      </c>
      <c r="N160" s="4">
        <v>299.98</v>
      </c>
      <c r="O160" s="5">
        <f t="shared" ca="1" si="10"/>
        <v>46301.61373611111</v>
      </c>
      <c r="P160" s="6">
        <f t="shared" ca="1" si="11"/>
        <v>46302</v>
      </c>
      <c r="Q160" s="7">
        <f>DATEDIF(Sales_Data[[#This Row],[Customer_Since]],Sales_Data[[#This Row],[Date]],"d")</f>
        <v>1152</v>
      </c>
      <c r="R160" s="8">
        <f t="shared" si="12"/>
        <v>45657</v>
      </c>
      <c r="S160" s="9" t="str">
        <f t="shared" si="13"/>
        <v>Dec-24</v>
      </c>
      <c r="T160" s="9">
        <f>COUNTIF(Sales_Data[Product_Name],F160)</f>
        <v>16</v>
      </c>
      <c r="U160" s="9">
        <f>COUNTIF(Sales_Data[Customer_ID],C160)</f>
        <v>5</v>
      </c>
      <c r="V160" s="9" t="str">
        <f t="shared" si="14"/>
        <v>JJ</v>
      </c>
    </row>
    <row r="161" spans="1:22" ht="15.75" customHeight="1" x14ac:dyDescent="0.3">
      <c r="A161" s="2" t="s">
        <v>299</v>
      </c>
      <c r="B161" s="3">
        <v>45627</v>
      </c>
      <c r="C161" s="2" t="s">
        <v>86</v>
      </c>
      <c r="D161" s="2" t="s">
        <v>87</v>
      </c>
      <c r="E161" s="2" t="s">
        <v>80</v>
      </c>
      <c r="F161" s="2" t="s">
        <v>81</v>
      </c>
      <c r="G161" s="2" t="s">
        <v>19</v>
      </c>
      <c r="H161" s="2">
        <v>5</v>
      </c>
      <c r="I161" s="4">
        <v>699.99</v>
      </c>
      <c r="J161" s="2" t="s">
        <v>57</v>
      </c>
      <c r="K161" s="2" t="s">
        <v>50</v>
      </c>
      <c r="L161" s="2" t="s">
        <v>36</v>
      </c>
      <c r="M161" s="3">
        <v>44944</v>
      </c>
      <c r="N161" s="4">
        <v>3499.95</v>
      </c>
      <c r="O161" s="5">
        <f t="shared" ca="1" si="10"/>
        <v>46301.61373611111</v>
      </c>
      <c r="P161" s="6">
        <f t="shared" ca="1" si="11"/>
        <v>46302</v>
      </c>
      <c r="Q161" s="7">
        <f>DATEDIF(Sales_Data[[#This Row],[Customer_Since]],Sales_Data[[#This Row],[Date]],"d")</f>
        <v>683</v>
      </c>
      <c r="R161" s="8">
        <f t="shared" si="12"/>
        <v>45657</v>
      </c>
      <c r="S161" s="9" t="str">
        <f t="shared" si="13"/>
        <v>Dec-24</v>
      </c>
      <c r="T161" s="9">
        <f>COUNTIF(Sales_Data[Product_Name],F161)</f>
        <v>31</v>
      </c>
      <c r="U161" s="9">
        <f>COUNTIF(Sales_Data[Customer_ID],C161)</f>
        <v>12</v>
      </c>
      <c r="V161" s="9" t="str">
        <f t="shared" si="14"/>
        <v>MC</v>
      </c>
    </row>
    <row r="162" spans="1:22" ht="15.75" customHeight="1" x14ac:dyDescent="0.3">
      <c r="A162" s="2" t="s">
        <v>300</v>
      </c>
      <c r="B162" s="3">
        <v>45629</v>
      </c>
      <c r="C162" s="2" t="s">
        <v>252</v>
      </c>
      <c r="D162" s="2" t="s">
        <v>253</v>
      </c>
      <c r="E162" s="2" t="s">
        <v>17</v>
      </c>
      <c r="F162" s="2" t="s">
        <v>18</v>
      </c>
      <c r="G162" s="2" t="s">
        <v>19</v>
      </c>
      <c r="H162" s="2">
        <v>4</v>
      </c>
      <c r="I162" s="4">
        <v>249.99</v>
      </c>
      <c r="J162" s="2" t="s">
        <v>34</v>
      </c>
      <c r="K162" s="2" t="s">
        <v>63</v>
      </c>
      <c r="L162" s="2" t="s">
        <v>27</v>
      </c>
      <c r="M162" s="3">
        <v>45098</v>
      </c>
      <c r="N162" s="4">
        <v>999.96</v>
      </c>
      <c r="O162" s="5">
        <f t="shared" ca="1" si="10"/>
        <v>46301.61373611111</v>
      </c>
      <c r="P162" s="6">
        <f t="shared" ca="1" si="11"/>
        <v>46302</v>
      </c>
      <c r="Q162" s="7">
        <f>DATEDIF(Sales_Data[[#This Row],[Customer_Since]],Sales_Data[[#This Row],[Date]],"d")</f>
        <v>531</v>
      </c>
      <c r="R162" s="8">
        <f t="shared" si="12"/>
        <v>45657</v>
      </c>
      <c r="S162" s="9" t="str">
        <f t="shared" si="13"/>
        <v>Dec-24</v>
      </c>
      <c r="T162" s="9">
        <f>COUNTIF(Sales_Data[Product_Name],F162)</f>
        <v>26</v>
      </c>
      <c r="U162" s="9">
        <f>COUNTIF(Sales_Data[Customer_ID],C162)</f>
        <v>3</v>
      </c>
      <c r="V162" s="9" t="str">
        <f t="shared" si="14"/>
        <v>WW</v>
      </c>
    </row>
    <row r="163" spans="1:22" ht="15.75" customHeight="1" x14ac:dyDescent="0.3">
      <c r="A163" s="2" t="s">
        <v>301</v>
      </c>
      <c r="B163" s="3">
        <v>45630</v>
      </c>
      <c r="C163" s="2" t="s">
        <v>48</v>
      </c>
      <c r="D163" s="2" t="s">
        <v>49</v>
      </c>
      <c r="E163" s="2" t="s">
        <v>80</v>
      </c>
      <c r="F163" s="2" t="s">
        <v>81</v>
      </c>
      <c r="G163" s="2" t="s">
        <v>19</v>
      </c>
      <c r="H163" s="2">
        <v>4</v>
      </c>
      <c r="I163" s="4">
        <v>699.99</v>
      </c>
      <c r="J163" s="2" t="s">
        <v>26</v>
      </c>
      <c r="K163" s="2" t="s">
        <v>40</v>
      </c>
      <c r="L163" s="2" t="s">
        <v>27</v>
      </c>
      <c r="M163" s="3">
        <v>44703</v>
      </c>
      <c r="N163" s="4">
        <v>2799.96</v>
      </c>
      <c r="O163" s="5">
        <f t="shared" ca="1" si="10"/>
        <v>46301.61373611111</v>
      </c>
      <c r="P163" s="6">
        <f t="shared" ca="1" si="11"/>
        <v>46302</v>
      </c>
      <c r="Q163" s="7">
        <f>DATEDIF(Sales_Data[[#This Row],[Customer_Since]],Sales_Data[[#This Row],[Date]],"d")</f>
        <v>927</v>
      </c>
      <c r="R163" s="8">
        <f t="shared" si="12"/>
        <v>45657</v>
      </c>
      <c r="S163" s="9" t="str">
        <f t="shared" si="13"/>
        <v>Dec-24</v>
      </c>
      <c r="T163" s="9">
        <f>COUNTIF(Sales_Data[Product_Name],F163)</f>
        <v>31</v>
      </c>
      <c r="U163" s="9">
        <f>COUNTIF(Sales_Data[Customer_ID],C163)</f>
        <v>6</v>
      </c>
      <c r="V163" s="9" t="str">
        <f t="shared" si="14"/>
        <v>DN</v>
      </c>
    </row>
    <row r="164" spans="1:22" ht="15.75" customHeight="1" x14ac:dyDescent="0.3">
      <c r="A164" s="2" t="s">
        <v>302</v>
      </c>
      <c r="B164" s="3">
        <v>45635</v>
      </c>
      <c r="C164" s="2" t="s">
        <v>108</v>
      </c>
      <c r="D164" s="2" t="s">
        <v>109</v>
      </c>
      <c r="E164" s="2" t="s">
        <v>17</v>
      </c>
      <c r="F164" s="2" t="s">
        <v>18</v>
      </c>
      <c r="G164" s="2" t="s">
        <v>19</v>
      </c>
      <c r="H164" s="2">
        <v>2</v>
      </c>
      <c r="I164" s="4">
        <v>249.99</v>
      </c>
      <c r="J164" s="2" t="s">
        <v>26</v>
      </c>
      <c r="K164" s="2" t="s">
        <v>21</v>
      </c>
      <c r="L164" s="2" t="s">
        <v>27</v>
      </c>
      <c r="M164" s="3">
        <v>44396</v>
      </c>
      <c r="N164" s="4">
        <v>499.98</v>
      </c>
      <c r="O164" s="5">
        <f t="shared" ca="1" si="10"/>
        <v>46301.61373611111</v>
      </c>
      <c r="P164" s="6">
        <f t="shared" ca="1" si="11"/>
        <v>46302</v>
      </c>
      <c r="Q164" s="7">
        <f>DATEDIF(Sales_Data[[#This Row],[Customer_Since]],Sales_Data[[#This Row],[Date]],"d")</f>
        <v>1239</v>
      </c>
      <c r="R164" s="8">
        <f t="shared" si="12"/>
        <v>45657</v>
      </c>
      <c r="S164" s="9" t="str">
        <f t="shared" si="13"/>
        <v>Dec-24</v>
      </c>
      <c r="T164" s="9">
        <f>COUNTIF(Sales_Data[Product_Name],F164)</f>
        <v>26</v>
      </c>
      <c r="U164" s="9">
        <f>COUNTIF(Sales_Data[Customer_ID],C164)</f>
        <v>6</v>
      </c>
      <c r="V164" s="9" t="str">
        <f t="shared" si="14"/>
        <v>NC</v>
      </c>
    </row>
    <row r="165" spans="1:22" ht="15.75" customHeight="1" x14ac:dyDescent="0.3">
      <c r="A165" s="2" t="s">
        <v>303</v>
      </c>
      <c r="B165" s="3">
        <v>45635</v>
      </c>
      <c r="C165" s="2" t="s">
        <v>304</v>
      </c>
      <c r="D165" s="2" t="s">
        <v>305</v>
      </c>
      <c r="E165" s="2" t="s">
        <v>31</v>
      </c>
      <c r="F165" s="2" t="s">
        <v>32</v>
      </c>
      <c r="G165" s="2" t="s">
        <v>33</v>
      </c>
      <c r="H165" s="2">
        <v>3</v>
      </c>
      <c r="I165" s="4">
        <v>59.99</v>
      </c>
      <c r="J165" s="2" t="s">
        <v>20</v>
      </c>
      <c r="K165" s="2" t="s">
        <v>21</v>
      </c>
      <c r="L165" s="2" t="s">
        <v>27</v>
      </c>
      <c r="M165" s="3">
        <v>45052</v>
      </c>
      <c r="N165" s="4">
        <v>179.97</v>
      </c>
      <c r="O165" s="5">
        <f t="shared" ca="1" si="10"/>
        <v>46301.61373611111</v>
      </c>
      <c r="P165" s="6">
        <f t="shared" ca="1" si="11"/>
        <v>46302</v>
      </c>
      <c r="Q165" s="7">
        <f>DATEDIF(Sales_Data[[#This Row],[Customer_Since]],Sales_Data[[#This Row],[Date]],"d")</f>
        <v>583</v>
      </c>
      <c r="R165" s="8">
        <f t="shared" si="12"/>
        <v>45657</v>
      </c>
      <c r="S165" s="9" t="str">
        <f t="shared" si="13"/>
        <v>Dec-24</v>
      </c>
      <c r="T165" s="9">
        <f>COUNTIF(Sales_Data[Product_Name],F165)</f>
        <v>29</v>
      </c>
      <c r="U165" s="9">
        <f>COUNTIF(Sales_Data[Customer_ID],C165)</f>
        <v>1</v>
      </c>
      <c r="V165" s="9" t="str">
        <f t="shared" si="14"/>
        <v>JJ</v>
      </c>
    </row>
    <row r="166" spans="1:22" ht="15.75" customHeight="1" x14ac:dyDescent="0.3">
      <c r="A166" s="2" t="s">
        <v>306</v>
      </c>
      <c r="B166" s="3">
        <v>45635</v>
      </c>
      <c r="C166" s="2" t="s">
        <v>141</v>
      </c>
      <c r="D166" s="2" t="s">
        <v>142</v>
      </c>
      <c r="E166" s="2" t="s">
        <v>114</v>
      </c>
      <c r="F166" s="2" t="s">
        <v>115</v>
      </c>
      <c r="G166" s="2" t="s">
        <v>33</v>
      </c>
      <c r="H166" s="2">
        <v>4</v>
      </c>
      <c r="I166" s="4">
        <v>79.989999999999995</v>
      </c>
      <c r="J166" s="2" t="s">
        <v>57</v>
      </c>
      <c r="K166" s="2" t="s">
        <v>63</v>
      </c>
      <c r="L166" s="2" t="s">
        <v>36</v>
      </c>
      <c r="M166" s="3">
        <v>44921</v>
      </c>
      <c r="N166" s="4">
        <v>319.95999999999998</v>
      </c>
      <c r="O166" s="5">
        <f t="shared" ca="1" si="10"/>
        <v>46301.61373611111</v>
      </c>
      <c r="P166" s="6">
        <f t="shared" ca="1" si="11"/>
        <v>46302</v>
      </c>
      <c r="Q166" s="7">
        <f>DATEDIF(Sales_Data[[#This Row],[Customer_Since]],Sales_Data[[#This Row],[Date]],"d")</f>
        <v>714</v>
      </c>
      <c r="R166" s="8">
        <f t="shared" si="12"/>
        <v>45657</v>
      </c>
      <c r="S166" s="9" t="str">
        <f t="shared" si="13"/>
        <v>Dec-24</v>
      </c>
      <c r="T166" s="9">
        <f>COUNTIF(Sales_Data[Product_Name],F166)</f>
        <v>14</v>
      </c>
      <c r="U166" s="9">
        <f>COUNTIF(Sales_Data[Customer_ID],C166)</f>
        <v>4</v>
      </c>
      <c r="V166" s="9" t="str">
        <f t="shared" si="14"/>
        <v>JT</v>
      </c>
    </row>
    <row r="167" spans="1:22" ht="15.75" customHeight="1" x14ac:dyDescent="0.3">
      <c r="A167" s="2" t="s">
        <v>307</v>
      </c>
      <c r="B167" s="3">
        <v>45636</v>
      </c>
      <c r="C167" s="2" t="s">
        <v>120</v>
      </c>
      <c r="D167" s="2" t="s">
        <v>121</v>
      </c>
      <c r="E167" s="2" t="s">
        <v>114</v>
      </c>
      <c r="F167" s="2" t="s">
        <v>115</v>
      </c>
      <c r="G167" s="2" t="s">
        <v>33</v>
      </c>
      <c r="H167" s="2">
        <v>3</v>
      </c>
      <c r="I167" s="4">
        <v>79.989999999999995</v>
      </c>
      <c r="J167" s="2" t="s">
        <v>57</v>
      </c>
      <c r="K167" s="2" t="s">
        <v>63</v>
      </c>
      <c r="L167" s="2" t="s">
        <v>36</v>
      </c>
      <c r="M167" s="3">
        <v>44779</v>
      </c>
      <c r="N167" s="4">
        <v>239.97</v>
      </c>
      <c r="O167" s="5">
        <f t="shared" ca="1" si="10"/>
        <v>46301.61373611111</v>
      </c>
      <c r="P167" s="6">
        <f t="shared" ca="1" si="11"/>
        <v>46302</v>
      </c>
      <c r="Q167" s="7">
        <f>DATEDIF(Sales_Data[[#This Row],[Customer_Since]],Sales_Data[[#This Row],[Date]],"d")</f>
        <v>857</v>
      </c>
      <c r="R167" s="8">
        <f t="shared" si="12"/>
        <v>45657</v>
      </c>
      <c r="S167" s="9" t="str">
        <f t="shared" si="13"/>
        <v>Dec-24</v>
      </c>
      <c r="T167" s="9">
        <f>COUNTIF(Sales_Data[Product_Name],F167)</f>
        <v>14</v>
      </c>
      <c r="U167" s="9">
        <f>COUNTIF(Sales_Data[Customer_ID],C167)</f>
        <v>7</v>
      </c>
      <c r="V167" s="9" t="str">
        <f t="shared" si="14"/>
        <v>HR</v>
      </c>
    </row>
    <row r="168" spans="1:22" ht="15.75" customHeight="1" x14ac:dyDescent="0.3">
      <c r="A168" s="2" t="s">
        <v>308</v>
      </c>
      <c r="B168" s="3">
        <v>45638</v>
      </c>
      <c r="C168" s="2" t="s">
        <v>72</v>
      </c>
      <c r="D168" s="2" t="s">
        <v>73</v>
      </c>
      <c r="E168" s="2" t="s">
        <v>61</v>
      </c>
      <c r="F168" s="2" t="s">
        <v>62</v>
      </c>
      <c r="G168" s="2" t="s">
        <v>19</v>
      </c>
      <c r="H168" s="2">
        <v>2</v>
      </c>
      <c r="I168" s="4">
        <v>899.99</v>
      </c>
      <c r="J168" s="2" t="s">
        <v>20</v>
      </c>
      <c r="K168" s="2" t="s">
        <v>40</v>
      </c>
      <c r="L168" s="2" t="s">
        <v>22</v>
      </c>
      <c r="M168" s="3">
        <v>44406</v>
      </c>
      <c r="N168" s="4">
        <v>1799.98</v>
      </c>
      <c r="O168" s="5">
        <f t="shared" ca="1" si="10"/>
        <v>46301.61373611111</v>
      </c>
      <c r="P168" s="6">
        <f t="shared" ca="1" si="11"/>
        <v>46302</v>
      </c>
      <c r="Q168" s="7">
        <f>DATEDIF(Sales_Data[[#This Row],[Customer_Since]],Sales_Data[[#This Row],[Date]],"d")</f>
        <v>1232</v>
      </c>
      <c r="R168" s="8">
        <f t="shared" si="12"/>
        <v>45657</v>
      </c>
      <c r="S168" s="9" t="str">
        <f t="shared" si="13"/>
        <v>Dec-24</v>
      </c>
      <c r="T168" s="9">
        <f>COUNTIF(Sales_Data[Product_Name],F168)</f>
        <v>24</v>
      </c>
      <c r="U168" s="9">
        <f>COUNTIF(Sales_Data[Customer_ID],C168)</f>
        <v>5</v>
      </c>
      <c r="V168" s="9" t="str">
        <f t="shared" si="14"/>
        <v>PR</v>
      </c>
    </row>
    <row r="169" spans="1:22" ht="15.75" customHeight="1" x14ac:dyDescent="0.3">
      <c r="A169" s="2" t="s">
        <v>309</v>
      </c>
      <c r="B169" s="3">
        <v>45641</v>
      </c>
      <c r="C169" s="2" t="s">
        <v>182</v>
      </c>
      <c r="D169" s="2" t="s">
        <v>183</v>
      </c>
      <c r="E169" s="2" t="s">
        <v>44</v>
      </c>
      <c r="F169" s="2" t="s">
        <v>45</v>
      </c>
      <c r="G169" s="2" t="s">
        <v>46</v>
      </c>
      <c r="H169" s="2">
        <v>1</v>
      </c>
      <c r="I169" s="4">
        <v>149.99</v>
      </c>
      <c r="J169" s="2" t="s">
        <v>57</v>
      </c>
      <c r="K169" s="2" t="s">
        <v>63</v>
      </c>
      <c r="L169" s="2" t="s">
        <v>36</v>
      </c>
      <c r="M169" s="3">
        <v>45200</v>
      </c>
      <c r="N169" s="4">
        <v>149.99</v>
      </c>
      <c r="O169" s="5">
        <f t="shared" ca="1" si="10"/>
        <v>46301.61373611111</v>
      </c>
      <c r="P169" s="6">
        <f t="shared" ca="1" si="11"/>
        <v>46302</v>
      </c>
      <c r="Q169" s="7">
        <f>DATEDIF(Sales_Data[[#This Row],[Customer_Since]],Sales_Data[[#This Row],[Date]],"d")</f>
        <v>441</v>
      </c>
      <c r="R169" s="8">
        <f t="shared" si="12"/>
        <v>45657</v>
      </c>
      <c r="S169" s="9" t="str">
        <f t="shared" si="13"/>
        <v>Dec-24</v>
      </c>
      <c r="T169" s="9">
        <f>COUNTIF(Sales_Data[Product_Name],F169)</f>
        <v>35</v>
      </c>
      <c r="U169" s="9">
        <f>COUNTIF(Sales_Data[Customer_ID],C169)</f>
        <v>6</v>
      </c>
      <c r="V169" s="9" t="str">
        <f t="shared" si="14"/>
        <v>DM</v>
      </c>
    </row>
    <row r="170" spans="1:22" ht="15.75" customHeight="1" x14ac:dyDescent="0.3">
      <c r="A170" s="2" t="s">
        <v>310</v>
      </c>
      <c r="B170" s="3">
        <v>45641</v>
      </c>
      <c r="C170" s="2" t="s">
        <v>138</v>
      </c>
      <c r="D170" s="2" t="s">
        <v>139</v>
      </c>
      <c r="E170" s="2" t="s">
        <v>105</v>
      </c>
      <c r="F170" s="2" t="s">
        <v>106</v>
      </c>
      <c r="G170" s="2" t="s">
        <v>46</v>
      </c>
      <c r="H170" s="2">
        <v>2</v>
      </c>
      <c r="I170" s="4">
        <v>299.99</v>
      </c>
      <c r="J170" s="2" t="s">
        <v>20</v>
      </c>
      <c r="K170" s="2" t="s">
        <v>63</v>
      </c>
      <c r="L170" s="2" t="s">
        <v>27</v>
      </c>
      <c r="M170" s="3">
        <v>44724</v>
      </c>
      <c r="N170" s="4">
        <v>599.98</v>
      </c>
      <c r="O170" s="5">
        <f t="shared" ca="1" si="10"/>
        <v>46301.61373611111</v>
      </c>
      <c r="P170" s="6">
        <f t="shared" ca="1" si="11"/>
        <v>46302</v>
      </c>
      <c r="Q170" s="7">
        <f>DATEDIF(Sales_Data[[#This Row],[Customer_Since]],Sales_Data[[#This Row],[Date]],"d")</f>
        <v>917</v>
      </c>
      <c r="R170" s="8">
        <f t="shared" si="12"/>
        <v>45657</v>
      </c>
      <c r="S170" s="9" t="str">
        <f t="shared" si="13"/>
        <v>Dec-24</v>
      </c>
      <c r="T170" s="9">
        <f>COUNTIF(Sales_Data[Product_Name],F170)</f>
        <v>26</v>
      </c>
      <c r="U170" s="9">
        <f>COUNTIF(Sales_Data[Customer_ID],C170)</f>
        <v>6</v>
      </c>
      <c r="V170" s="9" t="str">
        <f t="shared" si="14"/>
        <v>ST</v>
      </c>
    </row>
    <row r="171" spans="1:22" ht="15.75" customHeight="1" x14ac:dyDescent="0.3">
      <c r="A171" s="2" t="s">
        <v>311</v>
      </c>
      <c r="B171" s="3">
        <v>45644</v>
      </c>
      <c r="C171" s="2" t="s">
        <v>132</v>
      </c>
      <c r="D171" s="2" t="s">
        <v>133</v>
      </c>
      <c r="E171" s="2" t="s">
        <v>31</v>
      </c>
      <c r="F171" s="2" t="s">
        <v>32</v>
      </c>
      <c r="G171" s="2" t="s">
        <v>33</v>
      </c>
      <c r="H171" s="2">
        <v>2</v>
      </c>
      <c r="I171" s="4">
        <v>59.99</v>
      </c>
      <c r="J171" s="2" t="s">
        <v>20</v>
      </c>
      <c r="K171" s="2" t="s">
        <v>50</v>
      </c>
      <c r="L171" s="2" t="s">
        <v>22</v>
      </c>
      <c r="M171" s="3">
        <v>45191</v>
      </c>
      <c r="N171" s="4">
        <v>119.98</v>
      </c>
      <c r="O171" s="5">
        <f t="shared" ca="1" si="10"/>
        <v>46301.61373611111</v>
      </c>
      <c r="P171" s="6">
        <f t="shared" ca="1" si="11"/>
        <v>46302</v>
      </c>
      <c r="Q171" s="7">
        <f>DATEDIF(Sales_Data[[#This Row],[Customer_Since]],Sales_Data[[#This Row],[Date]],"d")</f>
        <v>453</v>
      </c>
      <c r="R171" s="8">
        <f t="shared" si="12"/>
        <v>45657</v>
      </c>
      <c r="S171" s="9" t="str">
        <f t="shared" si="13"/>
        <v>Dec-24</v>
      </c>
      <c r="T171" s="9">
        <f>COUNTIF(Sales_Data[Product_Name],F171)</f>
        <v>29</v>
      </c>
      <c r="U171" s="9">
        <f>COUNTIF(Sales_Data[Customer_ID],C171)</f>
        <v>5</v>
      </c>
      <c r="V171" s="9" t="str">
        <f t="shared" si="14"/>
        <v>EW</v>
      </c>
    </row>
    <row r="172" spans="1:22" ht="15.75" customHeight="1" x14ac:dyDescent="0.3">
      <c r="A172" s="2" t="s">
        <v>312</v>
      </c>
      <c r="B172" s="3">
        <v>45645</v>
      </c>
      <c r="C172" s="2" t="s">
        <v>182</v>
      </c>
      <c r="D172" s="2" t="s">
        <v>183</v>
      </c>
      <c r="E172" s="2" t="s">
        <v>117</v>
      </c>
      <c r="F172" s="2" t="s">
        <v>118</v>
      </c>
      <c r="G172" s="2" t="s">
        <v>19</v>
      </c>
      <c r="H172" s="2">
        <v>1</v>
      </c>
      <c r="I172" s="4">
        <v>89.99</v>
      </c>
      <c r="J172" s="2" t="s">
        <v>57</v>
      </c>
      <c r="K172" s="2" t="s">
        <v>21</v>
      </c>
      <c r="L172" s="2" t="s">
        <v>36</v>
      </c>
      <c r="M172" s="3">
        <v>44760</v>
      </c>
      <c r="N172" s="4">
        <v>89.99</v>
      </c>
      <c r="O172" s="5">
        <f t="shared" ca="1" si="10"/>
        <v>46301.61373611111</v>
      </c>
      <c r="P172" s="6">
        <f t="shared" ca="1" si="11"/>
        <v>46302</v>
      </c>
      <c r="Q172" s="7">
        <f>DATEDIF(Sales_Data[[#This Row],[Customer_Since]],Sales_Data[[#This Row],[Date]],"d")</f>
        <v>885</v>
      </c>
      <c r="R172" s="8">
        <f t="shared" si="12"/>
        <v>45657</v>
      </c>
      <c r="S172" s="9" t="str">
        <f t="shared" si="13"/>
        <v>Dec-24</v>
      </c>
      <c r="T172" s="9">
        <f>COUNTIF(Sales_Data[Product_Name],F172)</f>
        <v>34</v>
      </c>
      <c r="U172" s="9">
        <f>COUNTIF(Sales_Data[Customer_ID],C172)</f>
        <v>6</v>
      </c>
      <c r="V172" s="9" t="str">
        <f t="shared" si="14"/>
        <v>DM</v>
      </c>
    </row>
    <row r="173" spans="1:22" ht="15.75" customHeight="1" x14ac:dyDescent="0.3">
      <c r="A173" s="2" t="s">
        <v>313</v>
      </c>
      <c r="B173" s="3">
        <v>45645</v>
      </c>
      <c r="C173" s="2" t="s">
        <v>147</v>
      </c>
      <c r="D173" s="2" t="s">
        <v>148</v>
      </c>
      <c r="E173" s="2" t="s">
        <v>61</v>
      </c>
      <c r="F173" s="2" t="s">
        <v>62</v>
      </c>
      <c r="G173" s="2" t="s">
        <v>19</v>
      </c>
      <c r="H173" s="2">
        <v>5</v>
      </c>
      <c r="I173" s="4">
        <v>899.99</v>
      </c>
      <c r="J173" s="2" t="s">
        <v>57</v>
      </c>
      <c r="K173" s="2" t="s">
        <v>63</v>
      </c>
      <c r="L173" s="2" t="s">
        <v>36</v>
      </c>
      <c r="M173" s="3">
        <v>44625</v>
      </c>
      <c r="N173" s="4">
        <v>4499.95</v>
      </c>
      <c r="O173" s="5">
        <f t="shared" ca="1" si="10"/>
        <v>46301.61373611111</v>
      </c>
      <c r="P173" s="6">
        <f t="shared" ca="1" si="11"/>
        <v>46302</v>
      </c>
      <c r="Q173" s="7">
        <f>DATEDIF(Sales_Data[[#This Row],[Customer_Since]],Sales_Data[[#This Row],[Date]],"d")</f>
        <v>1020</v>
      </c>
      <c r="R173" s="8">
        <f t="shared" si="12"/>
        <v>45657</v>
      </c>
      <c r="S173" s="9" t="str">
        <f t="shared" si="13"/>
        <v>Dec-24</v>
      </c>
      <c r="T173" s="9">
        <f>COUNTIF(Sales_Data[Product_Name],F173)</f>
        <v>24</v>
      </c>
      <c r="U173" s="9">
        <f>COUNTIF(Sales_Data[Customer_ID],C173)</f>
        <v>7</v>
      </c>
      <c r="V173" s="9" t="str">
        <f t="shared" si="14"/>
        <v>DK</v>
      </c>
    </row>
    <row r="174" spans="1:22" ht="15.75" customHeight="1" x14ac:dyDescent="0.3">
      <c r="A174" s="2" t="s">
        <v>314</v>
      </c>
      <c r="B174" s="3">
        <v>45646</v>
      </c>
      <c r="C174" s="2" t="s">
        <v>42</v>
      </c>
      <c r="D174" s="2" t="s">
        <v>43</v>
      </c>
      <c r="E174" s="2" t="s">
        <v>44</v>
      </c>
      <c r="F174" s="2" t="s">
        <v>45</v>
      </c>
      <c r="G174" s="2" t="s">
        <v>46</v>
      </c>
      <c r="H174" s="2">
        <v>2</v>
      </c>
      <c r="I174" s="4">
        <v>149.99</v>
      </c>
      <c r="J174" s="2" t="s">
        <v>20</v>
      </c>
      <c r="K174" s="2" t="s">
        <v>35</v>
      </c>
      <c r="L174" s="2" t="s">
        <v>22</v>
      </c>
      <c r="M174" s="3">
        <v>45239</v>
      </c>
      <c r="N174" s="4">
        <v>299.98</v>
      </c>
      <c r="O174" s="5">
        <f t="shared" ca="1" si="10"/>
        <v>46301.61373611111</v>
      </c>
      <c r="P174" s="6">
        <f t="shared" ca="1" si="11"/>
        <v>46302</v>
      </c>
      <c r="Q174" s="7">
        <f>DATEDIF(Sales_Data[[#This Row],[Customer_Since]],Sales_Data[[#This Row],[Date]],"d")</f>
        <v>407</v>
      </c>
      <c r="R174" s="8">
        <f t="shared" si="12"/>
        <v>45657</v>
      </c>
      <c r="S174" s="9" t="str">
        <f t="shared" si="13"/>
        <v>Dec-24</v>
      </c>
      <c r="T174" s="9">
        <f>COUNTIF(Sales_Data[Product_Name],F174)</f>
        <v>35</v>
      </c>
      <c r="U174" s="9">
        <f>COUNTIF(Sales_Data[Customer_ID],C174)</f>
        <v>9</v>
      </c>
      <c r="V174" s="9" t="str">
        <f t="shared" si="14"/>
        <v>MB</v>
      </c>
    </row>
    <row r="175" spans="1:22" ht="15.75" customHeight="1" x14ac:dyDescent="0.3">
      <c r="A175" s="2" t="s">
        <v>315</v>
      </c>
      <c r="B175" s="3">
        <v>45648</v>
      </c>
      <c r="C175" s="2" t="s">
        <v>112</v>
      </c>
      <c r="D175" s="2" t="s">
        <v>113</v>
      </c>
      <c r="E175" s="2" t="s">
        <v>52</v>
      </c>
      <c r="F175" s="2" t="s">
        <v>53</v>
      </c>
      <c r="G175" s="2" t="s">
        <v>19</v>
      </c>
      <c r="H175" s="2">
        <v>2</v>
      </c>
      <c r="I175" s="4">
        <v>149.99</v>
      </c>
      <c r="J175" s="2" t="s">
        <v>57</v>
      </c>
      <c r="K175" s="2" t="s">
        <v>50</v>
      </c>
      <c r="L175" s="2" t="s">
        <v>27</v>
      </c>
      <c r="M175" s="3">
        <v>45280</v>
      </c>
      <c r="N175" s="4">
        <v>299.98</v>
      </c>
      <c r="O175" s="5">
        <f t="shared" ca="1" si="10"/>
        <v>46301.61373611111</v>
      </c>
      <c r="P175" s="6">
        <f t="shared" ca="1" si="11"/>
        <v>46302</v>
      </c>
      <c r="Q175" s="7">
        <f>DATEDIF(Sales_Data[[#This Row],[Customer_Since]],Sales_Data[[#This Row],[Date]],"d")</f>
        <v>368</v>
      </c>
      <c r="R175" s="8">
        <f t="shared" si="12"/>
        <v>45657</v>
      </c>
      <c r="S175" s="9" t="str">
        <f t="shared" si="13"/>
        <v>Dec-24</v>
      </c>
      <c r="T175" s="9">
        <f>COUNTIF(Sales_Data[Product_Name],F175)</f>
        <v>16</v>
      </c>
      <c r="U175" s="9">
        <f>COUNTIF(Sales_Data[Customer_ID],C175)</f>
        <v>4</v>
      </c>
      <c r="V175" s="9" t="str">
        <f t="shared" si="14"/>
        <v>LM</v>
      </c>
    </row>
    <row r="176" spans="1:22" ht="15.75" customHeight="1" x14ac:dyDescent="0.3">
      <c r="A176" s="2" t="s">
        <v>316</v>
      </c>
      <c r="B176" s="3">
        <v>45648</v>
      </c>
      <c r="C176" s="2" t="s">
        <v>182</v>
      </c>
      <c r="D176" s="2" t="s">
        <v>183</v>
      </c>
      <c r="E176" s="2" t="s">
        <v>44</v>
      </c>
      <c r="F176" s="2" t="s">
        <v>45</v>
      </c>
      <c r="G176" s="2" t="s">
        <v>46</v>
      </c>
      <c r="H176" s="2">
        <v>3</v>
      </c>
      <c r="I176" s="4">
        <v>149.99</v>
      </c>
      <c r="J176" s="2" t="s">
        <v>57</v>
      </c>
      <c r="K176" s="2" t="s">
        <v>40</v>
      </c>
      <c r="L176" s="2" t="s">
        <v>36</v>
      </c>
      <c r="M176" s="3">
        <v>44522</v>
      </c>
      <c r="N176" s="4">
        <v>449.97</v>
      </c>
      <c r="O176" s="5">
        <f t="shared" ca="1" si="10"/>
        <v>46301.61373611111</v>
      </c>
      <c r="P176" s="6">
        <f t="shared" ca="1" si="11"/>
        <v>46302</v>
      </c>
      <c r="Q176" s="7">
        <f>DATEDIF(Sales_Data[[#This Row],[Customer_Since]],Sales_Data[[#This Row],[Date]],"d")</f>
        <v>1126</v>
      </c>
      <c r="R176" s="8">
        <f t="shared" si="12"/>
        <v>45657</v>
      </c>
      <c r="S176" s="9" t="str">
        <f t="shared" si="13"/>
        <v>Dec-24</v>
      </c>
      <c r="T176" s="9">
        <f>COUNTIF(Sales_Data[Product_Name],F176)</f>
        <v>35</v>
      </c>
      <c r="U176" s="9">
        <f>COUNTIF(Sales_Data[Customer_ID],C176)</f>
        <v>6</v>
      </c>
      <c r="V176" s="9" t="str">
        <f t="shared" si="14"/>
        <v>DM</v>
      </c>
    </row>
    <row r="177" spans="1:22" ht="15.75" customHeight="1" x14ac:dyDescent="0.3">
      <c r="A177" s="2" t="s">
        <v>317</v>
      </c>
      <c r="B177" s="3">
        <v>45649</v>
      </c>
      <c r="C177" s="2" t="s">
        <v>29</v>
      </c>
      <c r="D177" s="2" t="s">
        <v>30</v>
      </c>
      <c r="E177" s="2" t="s">
        <v>105</v>
      </c>
      <c r="F177" s="2" t="s">
        <v>106</v>
      </c>
      <c r="G177" s="2" t="s">
        <v>46</v>
      </c>
      <c r="H177" s="2">
        <v>2</v>
      </c>
      <c r="I177" s="4">
        <v>299.99</v>
      </c>
      <c r="J177" s="2" t="s">
        <v>34</v>
      </c>
      <c r="K177" s="2" t="s">
        <v>35</v>
      </c>
      <c r="L177" s="2" t="s">
        <v>22</v>
      </c>
      <c r="M177" s="3">
        <v>44721</v>
      </c>
      <c r="N177" s="4">
        <v>599.98</v>
      </c>
      <c r="O177" s="5">
        <f t="shared" ca="1" si="10"/>
        <v>46301.61373611111</v>
      </c>
      <c r="P177" s="6">
        <f t="shared" ca="1" si="11"/>
        <v>46302</v>
      </c>
      <c r="Q177" s="7">
        <f>DATEDIF(Sales_Data[[#This Row],[Customer_Since]],Sales_Data[[#This Row],[Date]],"d")</f>
        <v>928</v>
      </c>
      <c r="R177" s="8">
        <f t="shared" si="12"/>
        <v>45657</v>
      </c>
      <c r="S177" s="9" t="str">
        <f t="shared" si="13"/>
        <v>Dec-24</v>
      </c>
      <c r="T177" s="9">
        <f>COUNTIF(Sales_Data[Product_Name],F177)</f>
        <v>26</v>
      </c>
      <c r="U177" s="9">
        <f>COUNTIF(Sales_Data[Customer_ID],C177)</f>
        <v>6</v>
      </c>
      <c r="V177" s="9" t="str">
        <f t="shared" si="14"/>
        <v>KS</v>
      </c>
    </row>
    <row r="178" spans="1:22" ht="15.75" customHeight="1" x14ac:dyDescent="0.3">
      <c r="A178" s="2" t="s">
        <v>318</v>
      </c>
      <c r="B178" s="3">
        <v>45654</v>
      </c>
      <c r="C178" s="2" t="s">
        <v>42</v>
      </c>
      <c r="D178" s="2" t="s">
        <v>43</v>
      </c>
      <c r="E178" s="2" t="s">
        <v>105</v>
      </c>
      <c r="F178" s="2" t="s">
        <v>106</v>
      </c>
      <c r="G178" s="2" t="s">
        <v>46</v>
      </c>
      <c r="H178" s="2">
        <v>2</v>
      </c>
      <c r="I178" s="4">
        <v>299.99</v>
      </c>
      <c r="J178" s="2" t="s">
        <v>20</v>
      </c>
      <c r="K178" s="2" t="s">
        <v>50</v>
      </c>
      <c r="L178" s="2" t="s">
        <v>22</v>
      </c>
      <c r="M178" s="3">
        <v>44771</v>
      </c>
      <c r="N178" s="4">
        <v>599.98</v>
      </c>
      <c r="O178" s="5">
        <f t="shared" ca="1" si="10"/>
        <v>46301.61373611111</v>
      </c>
      <c r="P178" s="6">
        <f t="shared" ca="1" si="11"/>
        <v>46302</v>
      </c>
      <c r="Q178" s="7">
        <f>DATEDIF(Sales_Data[[#This Row],[Customer_Since]],Sales_Data[[#This Row],[Date]],"d")</f>
        <v>883</v>
      </c>
      <c r="R178" s="8">
        <f t="shared" si="12"/>
        <v>45657</v>
      </c>
      <c r="S178" s="9" t="str">
        <f t="shared" si="13"/>
        <v>Dec-24</v>
      </c>
      <c r="T178" s="9">
        <f>COUNTIF(Sales_Data[Product_Name],F178)</f>
        <v>26</v>
      </c>
      <c r="U178" s="9">
        <f>COUNTIF(Sales_Data[Customer_ID],C178)</f>
        <v>9</v>
      </c>
      <c r="V178" s="9" t="str">
        <f t="shared" si="14"/>
        <v>MB</v>
      </c>
    </row>
    <row r="179" spans="1:22" ht="15.75" customHeight="1" x14ac:dyDescent="0.3">
      <c r="A179" s="2" t="s">
        <v>319</v>
      </c>
      <c r="B179" s="3">
        <v>45654</v>
      </c>
      <c r="C179" s="2" t="s">
        <v>120</v>
      </c>
      <c r="D179" s="2" t="s">
        <v>121</v>
      </c>
      <c r="E179" s="2" t="s">
        <v>126</v>
      </c>
      <c r="F179" s="2" t="s">
        <v>127</v>
      </c>
      <c r="G179" s="2" t="s">
        <v>46</v>
      </c>
      <c r="H179" s="2">
        <v>4</v>
      </c>
      <c r="I179" s="4">
        <v>199.99</v>
      </c>
      <c r="J179" s="2" t="s">
        <v>26</v>
      </c>
      <c r="K179" s="2" t="s">
        <v>21</v>
      </c>
      <c r="L179" s="2" t="s">
        <v>22</v>
      </c>
      <c r="M179" s="3">
        <v>44523</v>
      </c>
      <c r="N179" s="4">
        <v>799.96</v>
      </c>
      <c r="O179" s="5">
        <f t="shared" ca="1" si="10"/>
        <v>46301.61373611111</v>
      </c>
      <c r="P179" s="6">
        <f t="shared" ca="1" si="11"/>
        <v>46302</v>
      </c>
      <c r="Q179" s="7">
        <f>DATEDIF(Sales_Data[[#This Row],[Customer_Since]],Sales_Data[[#This Row],[Date]],"d")</f>
        <v>1131</v>
      </c>
      <c r="R179" s="8">
        <f t="shared" si="12"/>
        <v>45657</v>
      </c>
      <c r="S179" s="9" t="str">
        <f t="shared" si="13"/>
        <v>Dec-24</v>
      </c>
      <c r="T179" s="9">
        <f>COUNTIF(Sales_Data[Product_Name],F179)</f>
        <v>15</v>
      </c>
      <c r="U179" s="9">
        <f>COUNTIF(Sales_Data[Customer_ID],C179)</f>
        <v>7</v>
      </c>
      <c r="V179" s="9" t="str">
        <f t="shared" si="14"/>
        <v>HR</v>
      </c>
    </row>
    <row r="180" spans="1:22" ht="15.75" customHeight="1" x14ac:dyDescent="0.3">
      <c r="A180" s="2" t="s">
        <v>320</v>
      </c>
      <c r="B180" s="3">
        <v>45655</v>
      </c>
      <c r="C180" s="2" t="s">
        <v>59</v>
      </c>
      <c r="D180" s="2" t="s">
        <v>60</v>
      </c>
      <c r="E180" s="2" t="s">
        <v>117</v>
      </c>
      <c r="F180" s="2" t="s">
        <v>118</v>
      </c>
      <c r="G180" s="2" t="s">
        <v>19</v>
      </c>
      <c r="H180" s="2">
        <v>1</v>
      </c>
      <c r="I180" s="4">
        <v>89.99</v>
      </c>
      <c r="J180" s="2" t="s">
        <v>26</v>
      </c>
      <c r="K180" s="2" t="s">
        <v>35</v>
      </c>
      <c r="L180" s="2" t="s">
        <v>27</v>
      </c>
      <c r="M180" s="3">
        <v>44591</v>
      </c>
      <c r="N180" s="4">
        <v>89.99</v>
      </c>
      <c r="O180" s="5">
        <f t="shared" ca="1" si="10"/>
        <v>46301.61373611111</v>
      </c>
      <c r="P180" s="6">
        <f t="shared" ca="1" si="11"/>
        <v>46302</v>
      </c>
      <c r="Q180" s="7">
        <f>DATEDIF(Sales_Data[[#This Row],[Customer_Since]],Sales_Data[[#This Row],[Date]],"d")</f>
        <v>1064</v>
      </c>
      <c r="R180" s="8">
        <f t="shared" si="12"/>
        <v>45657</v>
      </c>
      <c r="S180" s="9" t="str">
        <f t="shared" si="13"/>
        <v>Dec-24</v>
      </c>
      <c r="T180" s="9">
        <f>COUNTIF(Sales_Data[Product_Name],F180)</f>
        <v>34</v>
      </c>
      <c r="U180" s="9">
        <f>COUNTIF(Sales_Data[Customer_ID],C180)</f>
        <v>5</v>
      </c>
      <c r="V180" s="9" t="str">
        <f t="shared" si="14"/>
        <v>RT</v>
      </c>
    </row>
    <row r="181" spans="1:22" ht="15.75" customHeight="1" x14ac:dyDescent="0.3">
      <c r="A181" s="2" t="s">
        <v>321</v>
      </c>
      <c r="B181" s="3">
        <v>45655</v>
      </c>
      <c r="C181" s="2" t="s">
        <v>108</v>
      </c>
      <c r="D181" s="2" t="s">
        <v>109</v>
      </c>
      <c r="E181" s="2" t="s">
        <v>44</v>
      </c>
      <c r="F181" s="2" t="s">
        <v>45</v>
      </c>
      <c r="G181" s="2" t="s">
        <v>46</v>
      </c>
      <c r="H181" s="2">
        <v>5</v>
      </c>
      <c r="I181" s="4">
        <v>149.99</v>
      </c>
      <c r="J181" s="2" t="s">
        <v>20</v>
      </c>
      <c r="K181" s="2" t="s">
        <v>21</v>
      </c>
      <c r="L181" s="2" t="s">
        <v>27</v>
      </c>
      <c r="M181" s="3">
        <v>45347</v>
      </c>
      <c r="N181" s="4">
        <v>749.95</v>
      </c>
      <c r="O181" s="5">
        <f t="shared" ca="1" si="10"/>
        <v>46301.61373611111</v>
      </c>
      <c r="P181" s="6">
        <f t="shared" ca="1" si="11"/>
        <v>46302</v>
      </c>
      <c r="Q181" s="7">
        <f>DATEDIF(Sales_Data[[#This Row],[Customer_Since]],Sales_Data[[#This Row],[Date]],"d")</f>
        <v>308</v>
      </c>
      <c r="R181" s="8">
        <f t="shared" si="12"/>
        <v>45657</v>
      </c>
      <c r="S181" s="9" t="str">
        <f t="shared" si="13"/>
        <v>Dec-24</v>
      </c>
      <c r="T181" s="9">
        <f>COUNTIF(Sales_Data[Product_Name],F181)</f>
        <v>35</v>
      </c>
      <c r="U181" s="9">
        <f>COUNTIF(Sales_Data[Customer_ID],C181)</f>
        <v>6</v>
      </c>
      <c r="V181" s="9" t="str">
        <f t="shared" si="14"/>
        <v>NC</v>
      </c>
    </row>
    <row r="182" spans="1:22" ht="15.75" customHeight="1" x14ac:dyDescent="0.3">
      <c r="A182" s="2" t="s">
        <v>322</v>
      </c>
      <c r="B182" s="3">
        <v>45657</v>
      </c>
      <c r="C182" s="2" t="s">
        <v>86</v>
      </c>
      <c r="D182" s="2" t="s">
        <v>87</v>
      </c>
      <c r="E182" s="2" t="s">
        <v>61</v>
      </c>
      <c r="F182" s="2" t="s">
        <v>62</v>
      </c>
      <c r="G182" s="2" t="s">
        <v>19</v>
      </c>
      <c r="H182" s="2">
        <v>1</v>
      </c>
      <c r="I182" s="4">
        <v>899.99</v>
      </c>
      <c r="J182" s="2" t="s">
        <v>34</v>
      </c>
      <c r="K182" s="2" t="s">
        <v>40</v>
      </c>
      <c r="L182" s="2" t="s">
        <v>27</v>
      </c>
      <c r="M182" s="3">
        <v>45050</v>
      </c>
      <c r="N182" s="4">
        <v>899.99</v>
      </c>
      <c r="O182" s="5">
        <f t="shared" ca="1" si="10"/>
        <v>46301.61373611111</v>
      </c>
      <c r="P182" s="6">
        <f t="shared" ca="1" si="11"/>
        <v>46302</v>
      </c>
      <c r="Q182" s="7">
        <f>DATEDIF(Sales_Data[[#This Row],[Customer_Since]],Sales_Data[[#This Row],[Date]],"d")</f>
        <v>607</v>
      </c>
      <c r="R182" s="8">
        <f t="shared" si="12"/>
        <v>45657</v>
      </c>
      <c r="S182" s="9" t="str">
        <f t="shared" si="13"/>
        <v>Dec-24</v>
      </c>
      <c r="T182" s="9">
        <f>COUNTIF(Sales_Data[Product_Name],F182)</f>
        <v>24</v>
      </c>
      <c r="U182" s="9">
        <f>COUNTIF(Sales_Data[Customer_ID],C182)</f>
        <v>12</v>
      </c>
      <c r="V182" s="9" t="str">
        <f t="shared" si="14"/>
        <v>MC</v>
      </c>
    </row>
    <row r="183" spans="1:22" ht="15.75" customHeight="1" x14ac:dyDescent="0.3">
      <c r="A183" s="2" t="s">
        <v>323</v>
      </c>
      <c r="B183" s="3">
        <v>45660</v>
      </c>
      <c r="C183" s="2" t="s">
        <v>147</v>
      </c>
      <c r="D183" s="2" t="s">
        <v>148</v>
      </c>
      <c r="E183" s="2" t="s">
        <v>117</v>
      </c>
      <c r="F183" s="2" t="s">
        <v>118</v>
      </c>
      <c r="G183" s="2" t="s">
        <v>19</v>
      </c>
      <c r="H183" s="2">
        <v>2</v>
      </c>
      <c r="I183" s="4">
        <v>89.99</v>
      </c>
      <c r="J183" s="2" t="s">
        <v>26</v>
      </c>
      <c r="K183" s="2" t="s">
        <v>35</v>
      </c>
      <c r="L183" s="2" t="s">
        <v>27</v>
      </c>
      <c r="M183" s="3">
        <v>44564</v>
      </c>
      <c r="N183" s="4">
        <v>179.98</v>
      </c>
      <c r="O183" s="5">
        <f t="shared" ca="1" si="10"/>
        <v>46301.61373611111</v>
      </c>
      <c r="P183" s="6">
        <f t="shared" ca="1" si="11"/>
        <v>46302</v>
      </c>
      <c r="Q183" s="7">
        <f>DATEDIF(Sales_Data[[#This Row],[Customer_Since]],Sales_Data[[#This Row],[Date]],"d")</f>
        <v>1096</v>
      </c>
      <c r="R183" s="8">
        <f t="shared" si="12"/>
        <v>45688</v>
      </c>
      <c r="S183" s="9" t="str">
        <f t="shared" si="13"/>
        <v>Jan-25</v>
      </c>
      <c r="T183" s="9">
        <f>COUNTIF(Sales_Data[Product_Name],F183)</f>
        <v>34</v>
      </c>
      <c r="U183" s="9">
        <f>COUNTIF(Sales_Data[Customer_ID],C183)</f>
        <v>7</v>
      </c>
      <c r="V183" s="9" t="str">
        <f t="shared" si="14"/>
        <v>DK</v>
      </c>
    </row>
    <row r="184" spans="1:22" ht="15.75" customHeight="1" x14ac:dyDescent="0.3">
      <c r="A184" s="2" t="s">
        <v>324</v>
      </c>
      <c r="B184" s="3">
        <v>45661</v>
      </c>
      <c r="C184" s="2" t="s">
        <v>325</v>
      </c>
      <c r="D184" s="2" t="s">
        <v>326</v>
      </c>
      <c r="E184" s="2" t="s">
        <v>61</v>
      </c>
      <c r="F184" s="2" t="s">
        <v>62</v>
      </c>
      <c r="G184" s="2" t="s">
        <v>19</v>
      </c>
      <c r="H184" s="2">
        <v>1</v>
      </c>
      <c r="I184" s="4">
        <v>899.99</v>
      </c>
      <c r="J184" s="2" t="s">
        <v>34</v>
      </c>
      <c r="K184" s="2" t="s">
        <v>40</v>
      </c>
      <c r="L184" s="2" t="s">
        <v>36</v>
      </c>
      <c r="M184" s="3">
        <v>44752</v>
      </c>
      <c r="N184" s="4">
        <v>899.99</v>
      </c>
      <c r="O184" s="5">
        <f t="shared" ca="1" si="10"/>
        <v>46301.61373611111</v>
      </c>
      <c r="P184" s="6">
        <f t="shared" ca="1" si="11"/>
        <v>46302</v>
      </c>
      <c r="Q184" s="7">
        <f>DATEDIF(Sales_Data[[#This Row],[Customer_Since]],Sales_Data[[#This Row],[Date]],"d")</f>
        <v>909</v>
      </c>
      <c r="R184" s="8">
        <f t="shared" si="12"/>
        <v>45688</v>
      </c>
      <c r="S184" s="9" t="str">
        <f t="shared" si="13"/>
        <v>Jan-25</v>
      </c>
      <c r="T184" s="9">
        <f>COUNTIF(Sales_Data[Product_Name],F184)</f>
        <v>24</v>
      </c>
      <c r="U184" s="9">
        <f>COUNTIF(Sales_Data[Customer_ID],C184)</f>
        <v>3</v>
      </c>
      <c r="V184" s="9" t="str">
        <f t="shared" si="14"/>
        <v>AE</v>
      </c>
    </row>
    <row r="185" spans="1:22" ht="15.75" customHeight="1" x14ac:dyDescent="0.3">
      <c r="A185" s="2" t="s">
        <v>327</v>
      </c>
      <c r="B185" s="3">
        <v>45663</v>
      </c>
      <c r="C185" s="2" t="s">
        <v>129</v>
      </c>
      <c r="D185" s="2" t="s">
        <v>130</v>
      </c>
      <c r="E185" s="2" t="s">
        <v>52</v>
      </c>
      <c r="F185" s="2" t="s">
        <v>53</v>
      </c>
      <c r="G185" s="2" t="s">
        <v>19</v>
      </c>
      <c r="H185" s="2">
        <v>5</v>
      </c>
      <c r="I185" s="4">
        <v>149.99</v>
      </c>
      <c r="J185" s="2" t="s">
        <v>34</v>
      </c>
      <c r="K185" s="2" t="s">
        <v>63</v>
      </c>
      <c r="L185" s="2" t="s">
        <v>27</v>
      </c>
      <c r="M185" s="3">
        <v>44824</v>
      </c>
      <c r="N185" s="4">
        <v>749.95</v>
      </c>
      <c r="O185" s="5">
        <f t="shared" ca="1" si="10"/>
        <v>46301.61373611111</v>
      </c>
      <c r="P185" s="6">
        <f t="shared" ca="1" si="11"/>
        <v>46302</v>
      </c>
      <c r="Q185" s="7">
        <f>DATEDIF(Sales_Data[[#This Row],[Customer_Since]],Sales_Data[[#This Row],[Date]],"d")</f>
        <v>839</v>
      </c>
      <c r="R185" s="8">
        <f t="shared" si="12"/>
        <v>45688</v>
      </c>
      <c r="S185" s="9" t="str">
        <f t="shared" si="13"/>
        <v>Jan-25</v>
      </c>
      <c r="T185" s="9">
        <f>COUNTIF(Sales_Data[Product_Name],F185)</f>
        <v>16</v>
      </c>
      <c r="U185" s="9">
        <f>COUNTIF(Sales_Data[Customer_ID],C185)</f>
        <v>5</v>
      </c>
      <c r="V185" s="9" t="str">
        <f t="shared" si="14"/>
        <v>LA</v>
      </c>
    </row>
    <row r="186" spans="1:22" ht="15.75" customHeight="1" x14ac:dyDescent="0.3">
      <c r="A186" s="2" t="s">
        <v>328</v>
      </c>
      <c r="B186" s="3">
        <v>45663</v>
      </c>
      <c r="C186" s="2" t="s">
        <v>42</v>
      </c>
      <c r="D186" s="2" t="s">
        <v>43</v>
      </c>
      <c r="E186" s="2" t="s">
        <v>105</v>
      </c>
      <c r="F186" s="2" t="s">
        <v>106</v>
      </c>
      <c r="G186" s="2" t="s">
        <v>46</v>
      </c>
      <c r="H186" s="2">
        <v>3</v>
      </c>
      <c r="I186" s="4">
        <v>299.99</v>
      </c>
      <c r="J186" s="2" t="s">
        <v>20</v>
      </c>
      <c r="K186" s="2" t="s">
        <v>35</v>
      </c>
      <c r="L186" s="2" t="s">
        <v>36</v>
      </c>
      <c r="M186" s="3">
        <v>44422</v>
      </c>
      <c r="N186" s="4">
        <v>899.97</v>
      </c>
      <c r="O186" s="5">
        <f t="shared" ca="1" si="10"/>
        <v>46301.61373611111</v>
      </c>
      <c r="P186" s="6">
        <f t="shared" ca="1" si="11"/>
        <v>46302</v>
      </c>
      <c r="Q186" s="7">
        <f>DATEDIF(Sales_Data[[#This Row],[Customer_Since]],Sales_Data[[#This Row],[Date]],"d")</f>
        <v>1241</v>
      </c>
      <c r="R186" s="8">
        <f t="shared" si="12"/>
        <v>45688</v>
      </c>
      <c r="S186" s="9" t="str">
        <f t="shared" si="13"/>
        <v>Jan-25</v>
      </c>
      <c r="T186" s="9">
        <f>COUNTIF(Sales_Data[Product_Name],F186)</f>
        <v>26</v>
      </c>
      <c r="U186" s="9">
        <f>COUNTIF(Sales_Data[Customer_ID],C186)</f>
        <v>9</v>
      </c>
      <c r="V186" s="9" t="str">
        <f t="shared" si="14"/>
        <v>MB</v>
      </c>
    </row>
    <row r="187" spans="1:22" ht="15.75" customHeight="1" x14ac:dyDescent="0.3">
      <c r="A187" s="2" t="s">
        <v>329</v>
      </c>
      <c r="B187" s="3">
        <v>45666</v>
      </c>
      <c r="C187" s="2" t="s">
        <v>65</v>
      </c>
      <c r="D187" s="2" t="s">
        <v>66</v>
      </c>
      <c r="E187" s="2" t="s">
        <v>80</v>
      </c>
      <c r="F187" s="2" t="s">
        <v>81</v>
      </c>
      <c r="G187" s="2" t="s">
        <v>19</v>
      </c>
      <c r="H187" s="2">
        <v>3</v>
      </c>
      <c r="I187" s="4">
        <v>699.99</v>
      </c>
      <c r="J187" s="2" t="s">
        <v>26</v>
      </c>
      <c r="K187" s="2" t="s">
        <v>21</v>
      </c>
      <c r="L187" s="2" t="s">
        <v>27</v>
      </c>
      <c r="M187" s="3">
        <v>45105</v>
      </c>
      <c r="N187" s="4">
        <v>2099.9699999999998</v>
      </c>
      <c r="O187" s="5">
        <f t="shared" ca="1" si="10"/>
        <v>46301.61373611111</v>
      </c>
      <c r="P187" s="6">
        <f t="shared" ca="1" si="11"/>
        <v>46302</v>
      </c>
      <c r="Q187" s="7">
        <f>DATEDIF(Sales_Data[[#This Row],[Customer_Since]],Sales_Data[[#This Row],[Date]],"d")</f>
        <v>561</v>
      </c>
      <c r="R187" s="8">
        <f t="shared" si="12"/>
        <v>45688</v>
      </c>
      <c r="S187" s="9" t="str">
        <f t="shared" si="13"/>
        <v>Jan-25</v>
      </c>
      <c r="T187" s="9">
        <f>COUNTIF(Sales_Data[Product_Name],F187)</f>
        <v>31</v>
      </c>
      <c r="U187" s="9">
        <f>COUNTIF(Sales_Data[Customer_ID],C187)</f>
        <v>8</v>
      </c>
      <c r="V187" s="9" t="str">
        <f t="shared" si="14"/>
        <v>KH</v>
      </c>
    </row>
    <row r="188" spans="1:22" ht="15.75" customHeight="1" x14ac:dyDescent="0.3">
      <c r="A188" s="2" t="s">
        <v>330</v>
      </c>
      <c r="B188" s="3">
        <v>45667</v>
      </c>
      <c r="C188" s="2" t="s">
        <v>108</v>
      </c>
      <c r="D188" s="2" t="s">
        <v>109</v>
      </c>
      <c r="E188" s="2" t="s">
        <v>126</v>
      </c>
      <c r="F188" s="2" t="s">
        <v>127</v>
      </c>
      <c r="G188" s="2" t="s">
        <v>46</v>
      </c>
      <c r="H188" s="2">
        <v>5</v>
      </c>
      <c r="I188" s="4">
        <v>199.99</v>
      </c>
      <c r="J188" s="2" t="s">
        <v>34</v>
      </c>
      <c r="K188" s="2" t="s">
        <v>21</v>
      </c>
      <c r="L188" s="2" t="s">
        <v>36</v>
      </c>
      <c r="M188" s="3">
        <v>44633</v>
      </c>
      <c r="N188" s="4">
        <v>999.95</v>
      </c>
      <c r="O188" s="5">
        <f t="shared" ca="1" si="10"/>
        <v>46301.61373611111</v>
      </c>
      <c r="P188" s="6">
        <f t="shared" ca="1" si="11"/>
        <v>46302</v>
      </c>
      <c r="Q188" s="7">
        <f>DATEDIF(Sales_Data[[#This Row],[Customer_Since]],Sales_Data[[#This Row],[Date]],"d")</f>
        <v>1034</v>
      </c>
      <c r="R188" s="8">
        <f t="shared" si="12"/>
        <v>45688</v>
      </c>
      <c r="S188" s="9" t="str">
        <f t="shared" si="13"/>
        <v>Jan-25</v>
      </c>
      <c r="T188" s="9">
        <f>COUNTIF(Sales_Data[Product_Name],F188)</f>
        <v>15</v>
      </c>
      <c r="U188" s="9">
        <f>COUNTIF(Sales_Data[Customer_ID],C188)</f>
        <v>6</v>
      </c>
      <c r="V188" s="9" t="str">
        <f t="shared" si="14"/>
        <v>NC</v>
      </c>
    </row>
    <row r="189" spans="1:22" ht="15.75" customHeight="1" x14ac:dyDescent="0.3">
      <c r="A189" s="2" t="s">
        <v>331</v>
      </c>
      <c r="B189" s="3">
        <v>45667</v>
      </c>
      <c r="C189" s="2" t="s">
        <v>93</v>
      </c>
      <c r="D189" s="2" t="s">
        <v>94</v>
      </c>
      <c r="E189" s="2" t="s">
        <v>17</v>
      </c>
      <c r="F189" s="2" t="s">
        <v>18</v>
      </c>
      <c r="G189" s="2" t="s">
        <v>19</v>
      </c>
      <c r="H189" s="2">
        <v>5</v>
      </c>
      <c r="I189" s="4">
        <v>249.99</v>
      </c>
      <c r="J189" s="2" t="s">
        <v>26</v>
      </c>
      <c r="K189" s="2" t="s">
        <v>35</v>
      </c>
      <c r="L189" s="2" t="s">
        <v>22</v>
      </c>
      <c r="M189" s="3">
        <v>45330</v>
      </c>
      <c r="N189" s="4">
        <v>1249.95</v>
      </c>
      <c r="O189" s="5">
        <f t="shared" ca="1" si="10"/>
        <v>46301.61373611111</v>
      </c>
      <c r="P189" s="6">
        <f t="shared" ca="1" si="11"/>
        <v>46302</v>
      </c>
      <c r="Q189" s="7">
        <f>DATEDIF(Sales_Data[[#This Row],[Customer_Since]],Sales_Data[[#This Row],[Date]],"d")</f>
        <v>337</v>
      </c>
      <c r="R189" s="8">
        <f t="shared" si="12"/>
        <v>45688</v>
      </c>
      <c r="S189" s="9" t="str">
        <f t="shared" si="13"/>
        <v>Jan-25</v>
      </c>
      <c r="T189" s="9">
        <f>COUNTIF(Sales_Data[Product_Name],F189)</f>
        <v>26</v>
      </c>
      <c r="U189" s="9">
        <f>COUNTIF(Sales_Data[Customer_ID],C189)</f>
        <v>6</v>
      </c>
      <c r="V189" s="9" t="str">
        <f t="shared" si="14"/>
        <v>VS</v>
      </c>
    </row>
    <row r="190" spans="1:22" ht="15.75" customHeight="1" x14ac:dyDescent="0.3">
      <c r="A190" s="2" t="s">
        <v>332</v>
      </c>
      <c r="B190" s="3">
        <v>45668</v>
      </c>
      <c r="C190" s="2" t="s">
        <v>138</v>
      </c>
      <c r="D190" s="2" t="s">
        <v>139</v>
      </c>
      <c r="E190" s="2" t="s">
        <v>52</v>
      </c>
      <c r="F190" s="2" t="s">
        <v>53</v>
      </c>
      <c r="G190" s="2" t="s">
        <v>19</v>
      </c>
      <c r="H190" s="2">
        <v>4</v>
      </c>
      <c r="I190" s="4">
        <v>149.99</v>
      </c>
      <c r="J190" s="2" t="s">
        <v>57</v>
      </c>
      <c r="K190" s="2" t="s">
        <v>63</v>
      </c>
      <c r="L190" s="2" t="s">
        <v>36</v>
      </c>
      <c r="M190" s="3">
        <v>44536</v>
      </c>
      <c r="N190" s="4">
        <v>599.96</v>
      </c>
      <c r="O190" s="5">
        <f t="shared" ca="1" si="10"/>
        <v>46301.61373611111</v>
      </c>
      <c r="P190" s="6">
        <f t="shared" ca="1" si="11"/>
        <v>46302</v>
      </c>
      <c r="Q190" s="7">
        <f>DATEDIF(Sales_Data[[#This Row],[Customer_Since]],Sales_Data[[#This Row],[Date]],"d")</f>
        <v>1132</v>
      </c>
      <c r="R190" s="8">
        <f t="shared" si="12"/>
        <v>45688</v>
      </c>
      <c r="S190" s="9" t="str">
        <f t="shared" si="13"/>
        <v>Jan-25</v>
      </c>
      <c r="T190" s="9">
        <f>COUNTIF(Sales_Data[Product_Name],F190)</f>
        <v>16</v>
      </c>
      <c r="U190" s="9">
        <f>COUNTIF(Sales_Data[Customer_ID],C190)</f>
        <v>6</v>
      </c>
      <c r="V190" s="9" t="str">
        <f t="shared" si="14"/>
        <v>ST</v>
      </c>
    </row>
    <row r="191" spans="1:22" ht="15.75" customHeight="1" x14ac:dyDescent="0.3">
      <c r="A191" s="2" t="s">
        <v>333</v>
      </c>
      <c r="B191" s="3">
        <v>45668</v>
      </c>
      <c r="C191" s="2" t="s">
        <v>78</v>
      </c>
      <c r="D191" s="2" t="s">
        <v>79</v>
      </c>
      <c r="E191" s="2" t="s">
        <v>80</v>
      </c>
      <c r="F191" s="2" t="s">
        <v>81</v>
      </c>
      <c r="G191" s="2" t="s">
        <v>19</v>
      </c>
      <c r="H191" s="2">
        <v>3</v>
      </c>
      <c r="I191" s="4">
        <v>699.99</v>
      </c>
      <c r="J191" s="2" t="s">
        <v>20</v>
      </c>
      <c r="K191" s="2" t="s">
        <v>40</v>
      </c>
      <c r="L191" s="2" t="s">
        <v>27</v>
      </c>
      <c r="M191" s="3">
        <v>44602</v>
      </c>
      <c r="N191" s="4">
        <v>2099.9699999999998</v>
      </c>
      <c r="O191" s="5">
        <f t="shared" ca="1" si="10"/>
        <v>46301.61373611111</v>
      </c>
      <c r="P191" s="6">
        <f t="shared" ca="1" si="11"/>
        <v>46302</v>
      </c>
      <c r="Q191" s="7">
        <f>DATEDIF(Sales_Data[[#This Row],[Customer_Since]],Sales_Data[[#This Row],[Date]],"d")</f>
        <v>1066</v>
      </c>
      <c r="R191" s="8">
        <f t="shared" si="12"/>
        <v>45688</v>
      </c>
      <c r="S191" s="9" t="str">
        <f t="shared" si="13"/>
        <v>Jan-25</v>
      </c>
      <c r="T191" s="9">
        <f>COUNTIF(Sales_Data[Product_Name],F191)</f>
        <v>31</v>
      </c>
      <c r="U191" s="9">
        <f>COUNTIF(Sales_Data[Customer_ID],C191)</f>
        <v>2</v>
      </c>
      <c r="V191" s="9" t="str">
        <f t="shared" si="14"/>
        <v>MR</v>
      </c>
    </row>
    <row r="192" spans="1:22" ht="15.75" customHeight="1" x14ac:dyDescent="0.3">
      <c r="A192" s="2" t="s">
        <v>334</v>
      </c>
      <c r="B192" s="3">
        <v>45670</v>
      </c>
      <c r="C192" s="2" t="s">
        <v>293</v>
      </c>
      <c r="D192" s="2" t="s">
        <v>294</v>
      </c>
      <c r="E192" s="2" t="s">
        <v>114</v>
      </c>
      <c r="F192" s="2" t="s">
        <v>115</v>
      </c>
      <c r="G192" s="2" t="s">
        <v>33</v>
      </c>
      <c r="H192" s="2">
        <v>1</v>
      </c>
      <c r="I192" s="4">
        <v>79.989999999999995</v>
      </c>
      <c r="J192" s="2" t="s">
        <v>26</v>
      </c>
      <c r="K192" s="2" t="s">
        <v>35</v>
      </c>
      <c r="L192" s="2" t="s">
        <v>22</v>
      </c>
      <c r="M192" s="3">
        <v>45322</v>
      </c>
      <c r="N192" s="4">
        <v>79.989999999999995</v>
      </c>
      <c r="O192" s="5">
        <f t="shared" ca="1" si="10"/>
        <v>46301.61373611111</v>
      </c>
      <c r="P192" s="6">
        <f t="shared" ca="1" si="11"/>
        <v>46302</v>
      </c>
      <c r="Q192" s="7">
        <f>DATEDIF(Sales_Data[[#This Row],[Customer_Since]],Sales_Data[[#This Row],[Date]],"d")</f>
        <v>348</v>
      </c>
      <c r="R192" s="8">
        <f t="shared" si="12"/>
        <v>45688</v>
      </c>
      <c r="S192" s="9" t="str">
        <f t="shared" si="13"/>
        <v>Jan-25</v>
      </c>
      <c r="T192" s="9">
        <f>COUNTIF(Sales_Data[Product_Name],F192)</f>
        <v>14</v>
      </c>
      <c r="U192" s="9">
        <f>COUNTIF(Sales_Data[Customer_ID],C192)</f>
        <v>4</v>
      </c>
      <c r="V192" s="9" t="str">
        <f t="shared" si="14"/>
        <v>DW</v>
      </c>
    </row>
    <row r="193" spans="1:22" ht="15.75" customHeight="1" x14ac:dyDescent="0.3">
      <c r="A193" s="2" t="s">
        <v>335</v>
      </c>
      <c r="B193" s="3">
        <v>45670</v>
      </c>
      <c r="C193" s="2" t="s">
        <v>86</v>
      </c>
      <c r="D193" s="2" t="s">
        <v>87</v>
      </c>
      <c r="E193" s="2" t="s">
        <v>105</v>
      </c>
      <c r="F193" s="2" t="s">
        <v>106</v>
      </c>
      <c r="G193" s="2" t="s">
        <v>46</v>
      </c>
      <c r="H193" s="2">
        <v>1</v>
      </c>
      <c r="I193" s="4">
        <v>299.99</v>
      </c>
      <c r="J193" s="2" t="s">
        <v>26</v>
      </c>
      <c r="K193" s="2" t="s">
        <v>40</v>
      </c>
      <c r="L193" s="2" t="s">
        <v>22</v>
      </c>
      <c r="M193" s="3">
        <v>44436</v>
      </c>
      <c r="N193" s="4">
        <v>299.99</v>
      </c>
      <c r="O193" s="5">
        <f t="shared" ca="1" si="10"/>
        <v>46301.61373611111</v>
      </c>
      <c r="P193" s="6">
        <f t="shared" ca="1" si="11"/>
        <v>46302</v>
      </c>
      <c r="Q193" s="7">
        <f>DATEDIF(Sales_Data[[#This Row],[Customer_Since]],Sales_Data[[#This Row],[Date]],"d")</f>
        <v>1234</v>
      </c>
      <c r="R193" s="8">
        <f t="shared" si="12"/>
        <v>45688</v>
      </c>
      <c r="S193" s="9" t="str">
        <f t="shared" si="13"/>
        <v>Jan-25</v>
      </c>
      <c r="T193" s="9">
        <f>COUNTIF(Sales_Data[Product_Name],F193)</f>
        <v>26</v>
      </c>
      <c r="U193" s="9">
        <f>COUNTIF(Sales_Data[Customer_ID],C193)</f>
        <v>12</v>
      </c>
      <c r="V193" s="9" t="str">
        <f t="shared" si="14"/>
        <v>MC</v>
      </c>
    </row>
    <row r="194" spans="1:22" ht="15.75" customHeight="1" x14ac:dyDescent="0.3">
      <c r="A194" s="2" t="s">
        <v>336</v>
      </c>
      <c r="B194" s="3">
        <v>45671</v>
      </c>
      <c r="C194" s="2" t="s">
        <v>158</v>
      </c>
      <c r="D194" s="2" t="s">
        <v>159</v>
      </c>
      <c r="E194" s="2" t="s">
        <v>17</v>
      </c>
      <c r="F194" s="2" t="s">
        <v>18</v>
      </c>
      <c r="G194" s="2" t="s">
        <v>19</v>
      </c>
      <c r="H194" s="2">
        <v>4</v>
      </c>
      <c r="I194" s="4">
        <v>249.99</v>
      </c>
      <c r="J194" s="2" t="s">
        <v>26</v>
      </c>
      <c r="K194" s="2" t="s">
        <v>40</v>
      </c>
      <c r="L194" s="2" t="s">
        <v>27</v>
      </c>
      <c r="M194" s="3">
        <v>44460</v>
      </c>
      <c r="N194" s="4">
        <v>999.96</v>
      </c>
      <c r="O194" s="5">
        <f t="shared" ca="1" si="10"/>
        <v>46301.61373611111</v>
      </c>
      <c r="P194" s="6">
        <f t="shared" ca="1" si="11"/>
        <v>46302</v>
      </c>
      <c r="Q194" s="7">
        <f>DATEDIF(Sales_Data[[#This Row],[Customer_Since]],Sales_Data[[#This Row],[Date]],"d")</f>
        <v>1211</v>
      </c>
      <c r="R194" s="8">
        <f t="shared" si="12"/>
        <v>45688</v>
      </c>
      <c r="S194" s="9" t="str">
        <f t="shared" si="13"/>
        <v>Jan-25</v>
      </c>
      <c r="T194" s="9">
        <f>COUNTIF(Sales_Data[Product_Name],F194)</f>
        <v>26</v>
      </c>
      <c r="U194" s="9">
        <f>COUNTIF(Sales_Data[Customer_ID],C194)</f>
        <v>5</v>
      </c>
      <c r="V194" s="9" t="str">
        <f t="shared" si="14"/>
        <v>BC</v>
      </c>
    </row>
    <row r="195" spans="1:22" ht="15.75" customHeight="1" x14ac:dyDescent="0.3">
      <c r="A195" s="2" t="s">
        <v>337</v>
      </c>
      <c r="B195" s="3">
        <v>45671</v>
      </c>
      <c r="C195" s="2" t="s">
        <v>120</v>
      </c>
      <c r="D195" s="2" t="s">
        <v>121</v>
      </c>
      <c r="E195" s="2" t="s">
        <v>52</v>
      </c>
      <c r="F195" s="2" t="s">
        <v>53</v>
      </c>
      <c r="G195" s="2" t="s">
        <v>19</v>
      </c>
      <c r="H195" s="2">
        <v>2</v>
      </c>
      <c r="I195" s="4">
        <v>149.99</v>
      </c>
      <c r="J195" s="2" t="s">
        <v>20</v>
      </c>
      <c r="K195" s="2" t="s">
        <v>40</v>
      </c>
      <c r="L195" s="2" t="s">
        <v>36</v>
      </c>
      <c r="M195" s="3">
        <v>44913</v>
      </c>
      <c r="N195" s="4">
        <v>299.98</v>
      </c>
      <c r="O195" s="5">
        <f t="shared" ca="1" si="10"/>
        <v>46301.61373611111</v>
      </c>
      <c r="P195" s="6">
        <f t="shared" ca="1" si="11"/>
        <v>46302</v>
      </c>
      <c r="Q195" s="7">
        <f>DATEDIF(Sales_Data[[#This Row],[Customer_Since]],Sales_Data[[#This Row],[Date]],"d")</f>
        <v>758</v>
      </c>
      <c r="R195" s="8">
        <f t="shared" si="12"/>
        <v>45688</v>
      </c>
      <c r="S195" s="9" t="str">
        <f t="shared" si="13"/>
        <v>Jan-25</v>
      </c>
      <c r="T195" s="9">
        <f>COUNTIF(Sales_Data[Product_Name],F195)</f>
        <v>16</v>
      </c>
      <c r="U195" s="9">
        <f>COUNTIF(Sales_Data[Customer_ID],C195)</f>
        <v>7</v>
      </c>
      <c r="V195" s="9" t="str">
        <f t="shared" si="14"/>
        <v>HR</v>
      </c>
    </row>
    <row r="196" spans="1:22" ht="15.75" customHeight="1" x14ac:dyDescent="0.3">
      <c r="A196" s="2" t="s">
        <v>338</v>
      </c>
      <c r="B196" s="3">
        <v>45671</v>
      </c>
      <c r="C196" s="2" t="s">
        <v>234</v>
      </c>
      <c r="D196" s="2" t="s">
        <v>235</v>
      </c>
      <c r="E196" s="2" t="s">
        <v>105</v>
      </c>
      <c r="F196" s="2" t="s">
        <v>106</v>
      </c>
      <c r="G196" s="2" t="s">
        <v>46</v>
      </c>
      <c r="H196" s="2">
        <v>3</v>
      </c>
      <c r="I196" s="4">
        <v>299.99</v>
      </c>
      <c r="J196" s="2" t="s">
        <v>26</v>
      </c>
      <c r="K196" s="2" t="s">
        <v>35</v>
      </c>
      <c r="L196" s="2" t="s">
        <v>22</v>
      </c>
      <c r="M196" s="3">
        <v>45204</v>
      </c>
      <c r="N196" s="4">
        <v>899.97</v>
      </c>
      <c r="O196" s="5">
        <f t="shared" ca="1" si="10"/>
        <v>46301.61373611111</v>
      </c>
      <c r="P196" s="6">
        <f t="shared" ca="1" si="11"/>
        <v>46302</v>
      </c>
      <c r="Q196" s="7">
        <f>DATEDIF(Sales_Data[[#This Row],[Customer_Since]],Sales_Data[[#This Row],[Date]],"d")</f>
        <v>467</v>
      </c>
      <c r="R196" s="8">
        <f t="shared" si="12"/>
        <v>45688</v>
      </c>
      <c r="S196" s="9" t="str">
        <f t="shared" si="13"/>
        <v>Jan-25</v>
      </c>
      <c r="T196" s="9">
        <f>COUNTIF(Sales_Data[Product_Name],F196)</f>
        <v>26</v>
      </c>
      <c r="U196" s="9">
        <f>COUNTIF(Sales_Data[Customer_ID],C196)</f>
        <v>5</v>
      </c>
      <c r="V196" s="9" t="str">
        <f t="shared" si="14"/>
        <v>SP</v>
      </c>
    </row>
    <row r="197" spans="1:22" ht="15.75" customHeight="1" x14ac:dyDescent="0.3">
      <c r="A197" s="2" t="s">
        <v>339</v>
      </c>
      <c r="B197" s="3">
        <v>45673</v>
      </c>
      <c r="C197" s="2" t="s">
        <v>226</v>
      </c>
      <c r="D197" s="2" t="s">
        <v>227</v>
      </c>
      <c r="E197" s="2" t="s">
        <v>126</v>
      </c>
      <c r="F197" s="2" t="s">
        <v>127</v>
      </c>
      <c r="G197" s="2" t="s">
        <v>46</v>
      </c>
      <c r="H197" s="2">
        <v>4</v>
      </c>
      <c r="I197" s="4">
        <v>199.99</v>
      </c>
      <c r="J197" s="2" t="s">
        <v>57</v>
      </c>
      <c r="K197" s="2" t="s">
        <v>35</v>
      </c>
      <c r="L197" s="2" t="s">
        <v>36</v>
      </c>
      <c r="M197" s="3">
        <v>44544</v>
      </c>
      <c r="N197" s="4">
        <v>799.96</v>
      </c>
      <c r="O197" s="5">
        <f t="shared" ref="O197:O254" ca="1" si="15">IF(A197="","",IF(O197=0,NOW(),O197))</f>
        <v>46301.61373611111</v>
      </c>
      <c r="P197" s="6">
        <f t="shared" ref="P197:P254" ca="1" si="16">TODAY()</f>
        <v>46302</v>
      </c>
      <c r="Q197" s="7">
        <f>DATEDIF(Sales_Data[[#This Row],[Customer_Since]],Sales_Data[[#This Row],[Date]],"d")</f>
        <v>1129</v>
      </c>
      <c r="R197" s="8">
        <f t="shared" ref="R197:R254" si="17">EOMONTH(B197,0)</f>
        <v>45688</v>
      </c>
      <c r="S197" s="9" t="str">
        <f t="shared" ref="S197:S254" si="18">TEXT(B197,"mmm-yy")</f>
        <v>Jan-25</v>
      </c>
      <c r="T197" s="9">
        <f>COUNTIF(Sales_Data[Product_Name],F197)</f>
        <v>15</v>
      </c>
      <c r="U197" s="9">
        <f>COUNTIF(Sales_Data[Customer_ID],C197)</f>
        <v>8</v>
      </c>
      <c r="V197" s="9" t="str">
        <f t="shared" ref="V197:V254" si="19">UPPER(LEFT(D197,1)&amp;LEFT(MID(D197,FIND(" ",D197)+1,99),1))</f>
        <v>LR</v>
      </c>
    </row>
    <row r="198" spans="1:22" ht="15.75" customHeight="1" x14ac:dyDescent="0.3">
      <c r="A198" s="2" t="s">
        <v>340</v>
      </c>
      <c r="B198" s="3">
        <v>45673</v>
      </c>
      <c r="C198" s="2" t="s">
        <v>211</v>
      </c>
      <c r="D198" s="2" t="s">
        <v>212</v>
      </c>
      <c r="E198" s="2" t="s">
        <v>105</v>
      </c>
      <c r="F198" s="2" t="s">
        <v>106</v>
      </c>
      <c r="G198" s="2" t="s">
        <v>46</v>
      </c>
      <c r="H198" s="2">
        <v>5</v>
      </c>
      <c r="I198" s="4">
        <v>299.99</v>
      </c>
      <c r="J198" s="2" t="s">
        <v>57</v>
      </c>
      <c r="K198" s="2" t="s">
        <v>21</v>
      </c>
      <c r="L198" s="2" t="s">
        <v>22</v>
      </c>
      <c r="M198" s="3">
        <v>44431</v>
      </c>
      <c r="N198" s="4">
        <v>1499.95</v>
      </c>
      <c r="O198" s="5">
        <f t="shared" ca="1" si="15"/>
        <v>46301.61373611111</v>
      </c>
      <c r="P198" s="6">
        <f t="shared" ca="1" si="16"/>
        <v>46302</v>
      </c>
      <c r="Q198" s="7">
        <f>DATEDIF(Sales_Data[[#This Row],[Customer_Since]],Sales_Data[[#This Row],[Date]],"d")</f>
        <v>1242</v>
      </c>
      <c r="R198" s="8">
        <f t="shared" si="17"/>
        <v>45688</v>
      </c>
      <c r="S198" s="9" t="str">
        <f t="shared" si="18"/>
        <v>Jan-25</v>
      </c>
      <c r="T198" s="9">
        <f>COUNTIF(Sales_Data[Product_Name],F198)</f>
        <v>26</v>
      </c>
      <c r="U198" s="9">
        <f>COUNTIF(Sales_Data[Customer_ID],C198)</f>
        <v>4</v>
      </c>
      <c r="V198" s="9" t="str">
        <f t="shared" si="19"/>
        <v>EH</v>
      </c>
    </row>
    <row r="199" spans="1:22" ht="15.75" customHeight="1" x14ac:dyDescent="0.3">
      <c r="A199" s="2" t="s">
        <v>341</v>
      </c>
      <c r="B199" s="3">
        <v>45673</v>
      </c>
      <c r="C199" s="2" t="s">
        <v>59</v>
      </c>
      <c r="D199" s="2" t="s">
        <v>60</v>
      </c>
      <c r="E199" s="2" t="s">
        <v>44</v>
      </c>
      <c r="F199" s="2" t="s">
        <v>45</v>
      </c>
      <c r="G199" s="2" t="s">
        <v>46</v>
      </c>
      <c r="H199" s="2">
        <v>3</v>
      </c>
      <c r="I199" s="4">
        <v>149.99</v>
      </c>
      <c r="J199" s="2" t="s">
        <v>26</v>
      </c>
      <c r="K199" s="2" t="s">
        <v>63</v>
      </c>
      <c r="L199" s="2" t="s">
        <v>36</v>
      </c>
      <c r="M199" s="3">
        <v>44395</v>
      </c>
      <c r="N199" s="4">
        <v>449.97</v>
      </c>
      <c r="O199" s="5">
        <f t="shared" ca="1" si="15"/>
        <v>46301.61373611111</v>
      </c>
      <c r="P199" s="6">
        <f t="shared" ca="1" si="16"/>
        <v>46302</v>
      </c>
      <c r="Q199" s="7">
        <f>DATEDIF(Sales_Data[[#This Row],[Customer_Since]],Sales_Data[[#This Row],[Date]],"d")</f>
        <v>1278</v>
      </c>
      <c r="R199" s="8">
        <f t="shared" si="17"/>
        <v>45688</v>
      </c>
      <c r="S199" s="9" t="str">
        <f t="shared" si="18"/>
        <v>Jan-25</v>
      </c>
      <c r="T199" s="9">
        <f>COUNTIF(Sales_Data[Product_Name],F199)</f>
        <v>35</v>
      </c>
      <c r="U199" s="9">
        <f>COUNTIF(Sales_Data[Customer_ID],C199)</f>
        <v>5</v>
      </c>
      <c r="V199" s="9" t="str">
        <f t="shared" si="19"/>
        <v>RT</v>
      </c>
    </row>
    <row r="200" spans="1:22" ht="15.75" customHeight="1" x14ac:dyDescent="0.3">
      <c r="A200" s="2" t="s">
        <v>342</v>
      </c>
      <c r="B200" s="3">
        <v>45676</v>
      </c>
      <c r="C200" s="2" t="s">
        <v>129</v>
      </c>
      <c r="D200" s="2" t="s">
        <v>130</v>
      </c>
      <c r="E200" s="2" t="s">
        <v>31</v>
      </c>
      <c r="F200" s="2" t="s">
        <v>32</v>
      </c>
      <c r="G200" s="2" t="s">
        <v>33</v>
      </c>
      <c r="H200" s="2">
        <v>5</v>
      </c>
      <c r="I200" s="4">
        <v>59.99</v>
      </c>
      <c r="J200" s="2" t="s">
        <v>57</v>
      </c>
      <c r="K200" s="2" t="s">
        <v>63</v>
      </c>
      <c r="L200" s="2" t="s">
        <v>22</v>
      </c>
      <c r="M200" s="3">
        <v>44642</v>
      </c>
      <c r="N200" s="4">
        <v>299.95</v>
      </c>
      <c r="O200" s="5">
        <f t="shared" ca="1" si="15"/>
        <v>46301.61373611111</v>
      </c>
      <c r="P200" s="6">
        <f t="shared" ca="1" si="16"/>
        <v>46302</v>
      </c>
      <c r="Q200" s="7">
        <f>DATEDIF(Sales_Data[[#This Row],[Customer_Since]],Sales_Data[[#This Row],[Date]],"d")</f>
        <v>1034</v>
      </c>
      <c r="R200" s="8">
        <f t="shared" si="17"/>
        <v>45688</v>
      </c>
      <c r="S200" s="9" t="str">
        <f t="shared" si="18"/>
        <v>Jan-25</v>
      </c>
      <c r="T200" s="9">
        <f>COUNTIF(Sales_Data[Product_Name],F200)</f>
        <v>29</v>
      </c>
      <c r="U200" s="9">
        <f>COUNTIF(Sales_Data[Customer_ID],C200)</f>
        <v>5</v>
      </c>
      <c r="V200" s="9" t="str">
        <f t="shared" si="19"/>
        <v>LA</v>
      </c>
    </row>
    <row r="201" spans="1:22" ht="15.75" customHeight="1" x14ac:dyDescent="0.3">
      <c r="A201" s="2" t="s">
        <v>343</v>
      </c>
      <c r="B201" s="3">
        <v>45682</v>
      </c>
      <c r="C201" s="2" t="s">
        <v>68</v>
      </c>
      <c r="D201" s="2" t="s">
        <v>69</v>
      </c>
      <c r="E201" s="2" t="s">
        <v>31</v>
      </c>
      <c r="F201" s="2" t="s">
        <v>32</v>
      </c>
      <c r="G201" s="2" t="s">
        <v>33</v>
      </c>
      <c r="H201" s="2">
        <v>4</v>
      </c>
      <c r="I201" s="4">
        <v>59.99</v>
      </c>
      <c r="J201" s="2" t="s">
        <v>57</v>
      </c>
      <c r="K201" s="2" t="s">
        <v>63</v>
      </c>
      <c r="L201" s="2" t="s">
        <v>36</v>
      </c>
      <c r="M201" s="3">
        <v>44564</v>
      </c>
      <c r="N201" s="4">
        <v>239.96</v>
      </c>
      <c r="O201" s="5">
        <f t="shared" ca="1" si="15"/>
        <v>46301.61373611111</v>
      </c>
      <c r="P201" s="6">
        <f t="shared" ca="1" si="16"/>
        <v>46302</v>
      </c>
      <c r="Q201" s="7">
        <f>DATEDIF(Sales_Data[[#This Row],[Customer_Since]],Sales_Data[[#This Row],[Date]],"d")</f>
        <v>1118</v>
      </c>
      <c r="R201" s="8">
        <f t="shared" si="17"/>
        <v>45688</v>
      </c>
      <c r="S201" s="9" t="str">
        <f t="shared" si="18"/>
        <v>Jan-25</v>
      </c>
      <c r="T201" s="9">
        <f>COUNTIF(Sales_Data[Product_Name],F201)</f>
        <v>29</v>
      </c>
      <c r="U201" s="9">
        <f>COUNTIF(Sales_Data[Customer_ID],C201)</f>
        <v>4</v>
      </c>
      <c r="V201" s="9" t="str">
        <f t="shared" si="19"/>
        <v>SG</v>
      </c>
    </row>
    <row r="202" spans="1:22" ht="15.75" customHeight="1" x14ac:dyDescent="0.3">
      <c r="A202" s="2" t="s">
        <v>344</v>
      </c>
      <c r="B202" s="3">
        <v>45683</v>
      </c>
      <c r="C202" s="2" t="s">
        <v>48</v>
      </c>
      <c r="D202" s="2" t="s">
        <v>49</v>
      </c>
      <c r="E202" s="2" t="s">
        <v>17</v>
      </c>
      <c r="F202" s="2" t="s">
        <v>18</v>
      </c>
      <c r="G202" s="2" t="s">
        <v>19</v>
      </c>
      <c r="H202" s="2">
        <v>4</v>
      </c>
      <c r="I202" s="4">
        <v>249.99</v>
      </c>
      <c r="J202" s="2" t="s">
        <v>57</v>
      </c>
      <c r="K202" s="2" t="s">
        <v>21</v>
      </c>
      <c r="L202" s="2" t="s">
        <v>27</v>
      </c>
      <c r="M202" s="3">
        <v>45217</v>
      </c>
      <c r="N202" s="4">
        <v>999.96</v>
      </c>
      <c r="O202" s="5">
        <f t="shared" ca="1" si="15"/>
        <v>46301.61373611111</v>
      </c>
      <c r="P202" s="6">
        <f t="shared" ca="1" si="16"/>
        <v>46302</v>
      </c>
      <c r="Q202" s="7">
        <f>DATEDIF(Sales_Data[[#This Row],[Customer_Since]],Sales_Data[[#This Row],[Date]],"d")</f>
        <v>466</v>
      </c>
      <c r="R202" s="8">
        <f t="shared" si="17"/>
        <v>45688</v>
      </c>
      <c r="S202" s="9" t="str">
        <f t="shared" si="18"/>
        <v>Jan-25</v>
      </c>
      <c r="T202" s="9">
        <f>COUNTIF(Sales_Data[Product_Name],F202)</f>
        <v>26</v>
      </c>
      <c r="U202" s="9">
        <f>COUNTIF(Sales_Data[Customer_ID],C202)</f>
        <v>6</v>
      </c>
      <c r="V202" s="9" t="str">
        <f t="shared" si="19"/>
        <v>DN</v>
      </c>
    </row>
    <row r="203" spans="1:22" ht="15.75" customHeight="1" x14ac:dyDescent="0.3">
      <c r="A203" s="2" t="s">
        <v>345</v>
      </c>
      <c r="B203" s="3">
        <v>45686</v>
      </c>
      <c r="C203" s="2" t="s">
        <v>252</v>
      </c>
      <c r="D203" s="2" t="s">
        <v>253</v>
      </c>
      <c r="E203" s="2" t="s">
        <v>61</v>
      </c>
      <c r="F203" s="2" t="s">
        <v>62</v>
      </c>
      <c r="G203" s="2" t="s">
        <v>19</v>
      </c>
      <c r="H203" s="2">
        <v>4</v>
      </c>
      <c r="I203" s="4">
        <v>899.99</v>
      </c>
      <c r="J203" s="2" t="s">
        <v>34</v>
      </c>
      <c r="K203" s="2" t="s">
        <v>21</v>
      </c>
      <c r="L203" s="2" t="s">
        <v>22</v>
      </c>
      <c r="M203" s="3">
        <v>44734</v>
      </c>
      <c r="N203" s="4">
        <v>3599.96</v>
      </c>
      <c r="O203" s="5">
        <f t="shared" ca="1" si="15"/>
        <v>46301.61373611111</v>
      </c>
      <c r="P203" s="6">
        <f t="shared" ca="1" si="16"/>
        <v>46302</v>
      </c>
      <c r="Q203" s="7">
        <f>DATEDIF(Sales_Data[[#This Row],[Customer_Since]],Sales_Data[[#This Row],[Date]],"d")</f>
        <v>952</v>
      </c>
      <c r="R203" s="8">
        <f t="shared" si="17"/>
        <v>45688</v>
      </c>
      <c r="S203" s="9" t="str">
        <f t="shared" si="18"/>
        <v>Jan-25</v>
      </c>
      <c r="T203" s="9">
        <f>COUNTIF(Sales_Data[Product_Name],F203)</f>
        <v>24</v>
      </c>
      <c r="U203" s="9">
        <f>COUNTIF(Sales_Data[Customer_ID],C203)</f>
        <v>3</v>
      </c>
      <c r="V203" s="9" t="str">
        <f t="shared" si="19"/>
        <v>WW</v>
      </c>
    </row>
    <row r="204" spans="1:22" ht="15.75" customHeight="1" x14ac:dyDescent="0.3">
      <c r="A204" s="2" t="s">
        <v>346</v>
      </c>
      <c r="B204" s="3">
        <v>45686</v>
      </c>
      <c r="C204" s="2" t="s">
        <v>86</v>
      </c>
      <c r="D204" s="2" t="s">
        <v>87</v>
      </c>
      <c r="E204" s="2" t="s">
        <v>105</v>
      </c>
      <c r="F204" s="2" t="s">
        <v>106</v>
      </c>
      <c r="G204" s="2" t="s">
        <v>46</v>
      </c>
      <c r="H204" s="2">
        <v>3</v>
      </c>
      <c r="I204" s="4">
        <v>299.99</v>
      </c>
      <c r="J204" s="2" t="s">
        <v>57</v>
      </c>
      <c r="K204" s="2" t="s">
        <v>50</v>
      </c>
      <c r="L204" s="2" t="s">
        <v>36</v>
      </c>
      <c r="M204" s="3">
        <v>44952</v>
      </c>
      <c r="N204" s="4">
        <v>899.97</v>
      </c>
      <c r="O204" s="5">
        <f t="shared" ca="1" si="15"/>
        <v>46301.61373611111</v>
      </c>
      <c r="P204" s="6">
        <f t="shared" ca="1" si="16"/>
        <v>46302</v>
      </c>
      <c r="Q204" s="7">
        <f>DATEDIF(Sales_Data[[#This Row],[Customer_Since]],Sales_Data[[#This Row],[Date]],"d")</f>
        <v>734</v>
      </c>
      <c r="R204" s="8">
        <f t="shared" si="17"/>
        <v>45688</v>
      </c>
      <c r="S204" s="9" t="str">
        <f t="shared" si="18"/>
        <v>Jan-25</v>
      </c>
      <c r="T204" s="9">
        <f>COUNTIF(Sales_Data[Product_Name],F204)</f>
        <v>26</v>
      </c>
      <c r="U204" s="9">
        <f>COUNTIF(Sales_Data[Customer_ID],C204)</f>
        <v>12</v>
      </c>
      <c r="V204" s="9" t="str">
        <f t="shared" si="19"/>
        <v>MC</v>
      </c>
    </row>
    <row r="205" spans="1:22" ht="15.75" customHeight="1" x14ac:dyDescent="0.3">
      <c r="A205" s="2" t="s">
        <v>347</v>
      </c>
      <c r="B205" s="3">
        <v>45686</v>
      </c>
      <c r="C205" s="2" t="s">
        <v>293</v>
      </c>
      <c r="D205" s="2" t="s">
        <v>294</v>
      </c>
      <c r="E205" s="2" t="s">
        <v>80</v>
      </c>
      <c r="F205" s="2" t="s">
        <v>81</v>
      </c>
      <c r="G205" s="2" t="s">
        <v>19</v>
      </c>
      <c r="H205" s="2">
        <v>2</v>
      </c>
      <c r="I205" s="4">
        <v>699.99</v>
      </c>
      <c r="J205" s="2" t="s">
        <v>57</v>
      </c>
      <c r="K205" s="2" t="s">
        <v>21</v>
      </c>
      <c r="L205" s="2" t="s">
        <v>27</v>
      </c>
      <c r="M205" s="3">
        <v>44681</v>
      </c>
      <c r="N205" s="4">
        <v>1399.98</v>
      </c>
      <c r="O205" s="5">
        <f t="shared" ca="1" si="15"/>
        <v>46301.61373611111</v>
      </c>
      <c r="P205" s="6">
        <f t="shared" ca="1" si="16"/>
        <v>46302</v>
      </c>
      <c r="Q205" s="7">
        <f>DATEDIF(Sales_Data[[#This Row],[Customer_Since]],Sales_Data[[#This Row],[Date]],"d")</f>
        <v>1005</v>
      </c>
      <c r="R205" s="8">
        <f t="shared" si="17"/>
        <v>45688</v>
      </c>
      <c r="S205" s="9" t="str">
        <f t="shared" si="18"/>
        <v>Jan-25</v>
      </c>
      <c r="T205" s="9">
        <f>COUNTIF(Sales_Data[Product_Name],F205)</f>
        <v>31</v>
      </c>
      <c r="U205" s="9">
        <f>COUNTIF(Sales_Data[Customer_ID],C205)</f>
        <v>4</v>
      </c>
      <c r="V205" s="9" t="str">
        <f t="shared" si="19"/>
        <v>DW</v>
      </c>
    </row>
    <row r="206" spans="1:22" ht="15.75" customHeight="1" x14ac:dyDescent="0.3">
      <c r="A206" s="2" t="s">
        <v>348</v>
      </c>
      <c r="B206" s="3">
        <v>45688</v>
      </c>
      <c r="C206" s="2" t="s">
        <v>65</v>
      </c>
      <c r="D206" s="2" t="s">
        <v>66</v>
      </c>
      <c r="E206" s="2" t="s">
        <v>80</v>
      </c>
      <c r="F206" s="2" t="s">
        <v>81</v>
      </c>
      <c r="G206" s="2" t="s">
        <v>19</v>
      </c>
      <c r="H206" s="2">
        <v>4</v>
      </c>
      <c r="I206" s="4">
        <v>699.99</v>
      </c>
      <c r="J206" s="2" t="s">
        <v>57</v>
      </c>
      <c r="K206" s="2" t="s">
        <v>50</v>
      </c>
      <c r="L206" s="2" t="s">
        <v>27</v>
      </c>
      <c r="M206" s="3">
        <v>44692</v>
      </c>
      <c r="N206" s="4">
        <v>2799.96</v>
      </c>
      <c r="O206" s="5">
        <f t="shared" ca="1" si="15"/>
        <v>46301.61373611111</v>
      </c>
      <c r="P206" s="6">
        <f t="shared" ca="1" si="16"/>
        <v>46302</v>
      </c>
      <c r="Q206" s="7">
        <f>DATEDIF(Sales_Data[[#This Row],[Customer_Since]],Sales_Data[[#This Row],[Date]],"d")</f>
        <v>996</v>
      </c>
      <c r="R206" s="8">
        <f t="shared" si="17"/>
        <v>45688</v>
      </c>
      <c r="S206" s="9" t="str">
        <f t="shared" si="18"/>
        <v>Jan-25</v>
      </c>
      <c r="T206" s="9">
        <f>COUNTIF(Sales_Data[Product_Name],F206)</f>
        <v>31</v>
      </c>
      <c r="U206" s="9">
        <f>COUNTIF(Sales_Data[Customer_ID],C206)</f>
        <v>8</v>
      </c>
      <c r="V206" s="9" t="str">
        <f t="shared" si="19"/>
        <v>KH</v>
      </c>
    </row>
    <row r="207" spans="1:22" ht="15.75" customHeight="1" x14ac:dyDescent="0.3">
      <c r="A207" s="2" t="s">
        <v>349</v>
      </c>
      <c r="B207" s="3">
        <v>45688</v>
      </c>
      <c r="C207" s="2" t="s">
        <v>123</v>
      </c>
      <c r="D207" s="2" t="s">
        <v>124</v>
      </c>
      <c r="E207" s="2" t="s">
        <v>117</v>
      </c>
      <c r="F207" s="2" t="s">
        <v>118</v>
      </c>
      <c r="G207" s="2" t="s">
        <v>19</v>
      </c>
      <c r="H207" s="2">
        <v>2</v>
      </c>
      <c r="I207" s="4">
        <v>89.99</v>
      </c>
      <c r="J207" s="2" t="s">
        <v>57</v>
      </c>
      <c r="K207" s="2" t="s">
        <v>35</v>
      </c>
      <c r="L207" s="2" t="s">
        <v>22</v>
      </c>
      <c r="M207" s="3">
        <v>44777</v>
      </c>
      <c r="N207" s="4">
        <v>179.98</v>
      </c>
      <c r="O207" s="5">
        <f t="shared" ca="1" si="15"/>
        <v>46301.61373611111</v>
      </c>
      <c r="P207" s="6">
        <f t="shared" ca="1" si="16"/>
        <v>46302</v>
      </c>
      <c r="Q207" s="7">
        <f>DATEDIF(Sales_Data[[#This Row],[Customer_Since]],Sales_Data[[#This Row],[Date]],"d")</f>
        <v>911</v>
      </c>
      <c r="R207" s="8">
        <f t="shared" si="17"/>
        <v>45688</v>
      </c>
      <c r="S207" s="9" t="str">
        <f t="shared" si="18"/>
        <v>Jan-25</v>
      </c>
      <c r="T207" s="9">
        <f>COUNTIF(Sales_Data[Product_Name],F207)</f>
        <v>34</v>
      </c>
      <c r="U207" s="9">
        <f>COUNTIF(Sales_Data[Customer_ID],C207)</f>
        <v>6</v>
      </c>
      <c r="V207" s="9" t="str">
        <f t="shared" si="19"/>
        <v>EM</v>
      </c>
    </row>
    <row r="208" spans="1:22" ht="15.75" customHeight="1" x14ac:dyDescent="0.3">
      <c r="A208" s="2" t="s">
        <v>350</v>
      </c>
      <c r="B208" s="3">
        <v>45688</v>
      </c>
      <c r="C208" s="2" t="s">
        <v>42</v>
      </c>
      <c r="D208" s="2" t="s">
        <v>43</v>
      </c>
      <c r="E208" s="2" t="s">
        <v>117</v>
      </c>
      <c r="F208" s="2" t="s">
        <v>118</v>
      </c>
      <c r="G208" s="2" t="s">
        <v>19</v>
      </c>
      <c r="H208" s="2">
        <v>3</v>
      </c>
      <c r="I208" s="4">
        <v>89.99</v>
      </c>
      <c r="J208" s="2" t="s">
        <v>57</v>
      </c>
      <c r="K208" s="2" t="s">
        <v>35</v>
      </c>
      <c r="L208" s="2" t="s">
        <v>27</v>
      </c>
      <c r="M208" s="3">
        <v>45307</v>
      </c>
      <c r="N208" s="4">
        <v>269.97000000000003</v>
      </c>
      <c r="O208" s="5">
        <f t="shared" ca="1" si="15"/>
        <v>46301.61373611111</v>
      </c>
      <c r="P208" s="6">
        <f t="shared" ca="1" si="16"/>
        <v>46302</v>
      </c>
      <c r="Q208" s="7">
        <f>DATEDIF(Sales_Data[[#This Row],[Customer_Since]],Sales_Data[[#This Row],[Date]],"d")</f>
        <v>381</v>
      </c>
      <c r="R208" s="8">
        <f t="shared" si="17"/>
        <v>45688</v>
      </c>
      <c r="S208" s="9" t="str">
        <f t="shared" si="18"/>
        <v>Jan-25</v>
      </c>
      <c r="T208" s="9">
        <f>COUNTIF(Sales_Data[Product_Name],F208)</f>
        <v>34</v>
      </c>
      <c r="U208" s="9">
        <f>COUNTIF(Sales_Data[Customer_ID],C208)</f>
        <v>9</v>
      </c>
      <c r="V208" s="9" t="str">
        <f t="shared" si="19"/>
        <v>MB</v>
      </c>
    </row>
    <row r="209" spans="1:22" ht="15.75" customHeight="1" x14ac:dyDescent="0.3">
      <c r="A209" s="2" t="s">
        <v>351</v>
      </c>
      <c r="B209" s="3">
        <v>45692</v>
      </c>
      <c r="C209" s="2" t="s">
        <v>325</v>
      </c>
      <c r="D209" s="2" t="s">
        <v>326</v>
      </c>
      <c r="E209" s="2" t="s">
        <v>31</v>
      </c>
      <c r="F209" s="2" t="s">
        <v>32</v>
      </c>
      <c r="G209" s="2" t="s">
        <v>33</v>
      </c>
      <c r="H209" s="2">
        <v>1</v>
      </c>
      <c r="I209" s="4">
        <v>59.99</v>
      </c>
      <c r="J209" s="2" t="s">
        <v>57</v>
      </c>
      <c r="K209" s="2" t="s">
        <v>21</v>
      </c>
      <c r="L209" s="2" t="s">
        <v>36</v>
      </c>
      <c r="M209" s="3">
        <v>45045</v>
      </c>
      <c r="N209" s="4">
        <v>59.99</v>
      </c>
      <c r="O209" s="5">
        <f t="shared" ca="1" si="15"/>
        <v>46301.61373611111</v>
      </c>
      <c r="P209" s="6">
        <f t="shared" ca="1" si="16"/>
        <v>46302</v>
      </c>
      <c r="Q209" s="7">
        <f>DATEDIF(Sales_Data[[#This Row],[Customer_Since]],Sales_Data[[#This Row],[Date]],"d")</f>
        <v>647</v>
      </c>
      <c r="R209" s="8">
        <f t="shared" si="17"/>
        <v>45716</v>
      </c>
      <c r="S209" s="9" t="str">
        <f t="shared" si="18"/>
        <v>Feb-25</v>
      </c>
      <c r="T209" s="9">
        <f>COUNTIF(Sales_Data[Product_Name],F209)</f>
        <v>29</v>
      </c>
      <c r="U209" s="9">
        <f>COUNTIF(Sales_Data[Customer_ID],C209)</f>
        <v>3</v>
      </c>
      <c r="V209" s="9" t="str">
        <f t="shared" si="19"/>
        <v>AE</v>
      </c>
    </row>
    <row r="210" spans="1:22" ht="15.75" customHeight="1" x14ac:dyDescent="0.3">
      <c r="A210" s="2" t="s">
        <v>352</v>
      </c>
      <c r="B210" s="3">
        <v>45695</v>
      </c>
      <c r="C210" s="2" t="s">
        <v>246</v>
      </c>
      <c r="D210" s="2" t="s">
        <v>247</v>
      </c>
      <c r="E210" s="2" t="s">
        <v>44</v>
      </c>
      <c r="F210" s="2" t="s">
        <v>45</v>
      </c>
      <c r="G210" s="2" t="s">
        <v>46</v>
      </c>
      <c r="H210" s="2">
        <v>3</v>
      </c>
      <c r="I210" s="4">
        <v>149.99</v>
      </c>
      <c r="J210" s="2" t="s">
        <v>57</v>
      </c>
      <c r="K210" s="2" t="s">
        <v>40</v>
      </c>
      <c r="L210" s="2" t="s">
        <v>27</v>
      </c>
      <c r="M210" s="3">
        <v>44564</v>
      </c>
      <c r="N210" s="4">
        <v>449.97</v>
      </c>
      <c r="O210" s="5">
        <f t="shared" ca="1" si="15"/>
        <v>46301.61373611111</v>
      </c>
      <c r="P210" s="6">
        <f t="shared" ca="1" si="16"/>
        <v>46302</v>
      </c>
      <c r="Q210" s="7">
        <f>DATEDIF(Sales_Data[[#This Row],[Customer_Since]],Sales_Data[[#This Row],[Date]],"d")</f>
        <v>1131</v>
      </c>
      <c r="R210" s="8">
        <f t="shared" si="17"/>
        <v>45716</v>
      </c>
      <c r="S210" s="9" t="str">
        <f t="shared" si="18"/>
        <v>Feb-25</v>
      </c>
      <c r="T210" s="9">
        <f>COUNTIF(Sales_Data[Product_Name],F210)</f>
        <v>35</v>
      </c>
      <c r="U210" s="9">
        <f>COUNTIF(Sales_Data[Customer_ID],C210)</f>
        <v>3</v>
      </c>
      <c r="V210" s="9" t="str">
        <f t="shared" si="19"/>
        <v>RB</v>
      </c>
    </row>
    <row r="211" spans="1:22" ht="15.75" customHeight="1" x14ac:dyDescent="0.3">
      <c r="A211" s="2" t="s">
        <v>353</v>
      </c>
      <c r="B211" s="3">
        <v>45695</v>
      </c>
      <c r="C211" s="2" t="s">
        <v>93</v>
      </c>
      <c r="D211" s="2" t="s">
        <v>94</v>
      </c>
      <c r="E211" s="2" t="s">
        <v>105</v>
      </c>
      <c r="F211" s="2" t="s">
        <v>106</v>
      </c>
      <c r="G211" s="2" t="s">
        <v>46</v>
      </c>
      <c r="H211" s="2">
        <v>5</v>
      </c>
      <c r="I211" s="4">
        <v>299.99</v>
      </c>
      <c r="J211" s="2" t="s">
        <v>26</v>
      </c>
      <c r="K211" s="2" t="s">
        <v>35</v>
      </c>
      <c r="L211" s="2" t="s">
        <v>22</v>
      </c>
      <c r="M211" s="3">
        <v>44959</v>
      </c>
      <c r="N211" s="4">
        <v>1499.95</v>
      </c>
      <c r="O211" s="5">
        <f t="shared" ca="1" si="15"/>
        <v>46301.61373611111</v>
      </c>
      <c r="P211" s="6">
        <f t="shared" ca="1" si="16"/>
        <v>46302</v>
      </c>
      <c r="Q211" s="7">
        <f>DATEDIF(Sales_Data[[#This Row],[Customer_Since]],Sales_Data[[#This Row],[Date]],"d")</f>
        <v>736</v>
      </c>
      <c r="R211" s="8">
        <f t="shared" si="17"/>
        <v>45716</v>
      </c>
      <c r="S211" s="9" t="str">
        <f t="shared" si="18"/>
        <v>Feb-25</v>
      </c>
      <c r="T211" s="9">
        <f>COUNTIF(Sales_Data[Product_Name],F211)</f>
        <v>26</v>
      </c>
      <c r="U211" s="9">
        <f>COUNTIF(Sales_Data[Customer_ID],C211)</f>
        <v>6</v>
      </c>
      <c r="V211" s="9" t="str">
        <f t="shared" si="19"/>
        <v>VS</v>
      </c>
    </row>
    <row r="212" spans="1:22" ht="15.75" customHeight="1" x14ac:dyDescent="0.3">
      <c r="A212" s="2" t="s">
        <v>354</v>
      </c>
      <c r="B212" s="3">
        <v>45696</v>
      </c>
      <c r="C212" s="2" t="s">
        <v>150</v>
      </c>
      <c r="D212" s="2" t="s">
        <v>151</v>
      </c>
      <c r="E212" s="2" t="s">
        <v>31</v>
      </c>
      <c r="F212" s="2" t="s">
        <v>32</v>
      </c>
      <c r="G212" s="2" t="s">
        <v>33</v>
      </c>
      <c r="H212" s="2">
        <v>5</v>
      </c>
      <c r="I212" s="4">
        <v>59.99</v>
      </c>
      <c r="J212" s="2" t="s">
        <v>57</v>
      </c>
      <c r="K212" s="2" t="s">
        <v>21</v>
      </c>
      <c r="L212" s="2" t="s">
        <v>36</v>
      </c>
      <c r="M212" s="3">
        <v>45177</v>
      </c>
      <c r="N212" s="4">
        <v>299.95</v>
      </c>
      <c r="O212" s="5">
        <f t="shared" ca="1" si="15"/>
        <v>46301.61373611111</v>
      </c>
      <c r="P212" s="6">
        <f t="shared" ca="1" si="16"/>
        <v>46302</v>
      </c>
      <c r="Q212" s="7">
        <f>DATEDIF(Sales_Data[[#This Row],[Customer_Since]],Sales_Data[[#This Row],[Date]],"d")</f>
        <v>519</v>
      </c>
      <c r="R212" s="8">
        <f t="shared" si="17"/>
        <v>45716</v>
      </c>
      <c r="S212" s="9" t="str">
        <f t="shared" si="18"/>
        <v>Feb-25</v>
      </c>
      <c r="T212" s="9">
        <f>COUNTIF(Sales_Data[Product_Name],F212)</f>
        <v>29</v>
      </c>
      <c r="U212" s="9">
        <f>COUNTIF(Sales_Data[Customer_ID],C212)</f>
        <v>6</v>
      </c>
      <c r="V212" s="9" t="str">
        <f t="shared" si="19"/>
        <v>SB</v>
      </c>
    </row>
    <row r="213" spans="1:22" ht="15.75" customHeight="1" x14ac:dyDescent="0.3">
      <c r="A213" s="2" t="s">
        <v>355</v>
      </c>
      <c r="B213" s="3">
        <v>45701</v>
      </c>
      <c r="C213" s="2" t="s">
        <v>108</v>
      </c>
      <c r="D213" s="2" t="s">
        <v>109</v>
      </c>
      <c r="E213" s="2" t="s">
        <v>114</v>
      </c>
      <c r="F213" s="2" t="s">
        <v>115</v>
      </c>
      <c r="G213" s="2" t="s">
        <v>33</v>
      </c>
      <c r="H213" s="2">
        <v>3</v>
      </c>
      <c r="I213" s="4">
        <v>79.989999999999995</v>
      </c>
      <c r="J213" s="2" t="s">
        <v>20</v>
      </c>
      <c r="K213" s="2" t="s">
        <v>63</v>
      </c>
      <c r="L213" s="2" t="s">
        <v>27</v>
      </c>
      <c r="M213" s="3">
        <v>44436</v>
      </c>
      <c r="N213" s="4">
        <v>239.97</v>
      </c>
      <c r="O213" s="5">
        <f t="shared" ca="1" si="15"/>
        <v>46301.61373611111</v>
      </c>
      <c r="P213" s="6">
        <f t="shared" ca="1" si="16"/>
        <v>46302</v>
      </c>
      <c r="Q213" s="7">
        <f>DATEDIF(Sales_Data[[#This Row],[Customer_Since]],Sales_Data[[#This Row],[Date]],"d")</f>
        <v>1265</v>
      </c>
      <c r="R213" s="8">
        <f t="shared" si="17"/>
        <v>45716</v>
      </c>
      <c r="S213" s="9" t="str">
        <f t="shared" si="18"/>
        <v>Feb-25</v>
      </c>
      <c r="T213" s="9">
        <f>COUNTIF(Sales_Data[Product_Name],F213)</f>
        <v>14</v>
      </c>
      <c r="U213" s="9">
        <f>COUNTIF(Sales_Data[Customer_ID],C213)</f>
        <v>6</v>
      </c>
      <c r="V213" s="9" t="str">
        <f t="shared" si="19"/>
        <v>NC</v>
      </c>
    </row>
    <row r="214" spans="1:22" ht="15.75" customHeight="1" x14ac:dyDescent="0.3">
      <c r="A214" s="2" t="s">
        <v>356</v>
      </c>
      <c r="B214" s="3">
        <v>45704</v>
      </c>
      <c r="C214" s="2" t="s">
        <v>29</v>
      </c>
      <c r="D214" s="2" t="s">
        <v>30</v>
      </c>
      <c r="E214" s="2" t="s">
        <v>126</v>
      </c>
      <c r="F214" s="2" t="s">
        <v>127</v>
      </c>
      <c r="G214" s="2" t="s">
        <v>46</v>
      </c>
      <c r="H214" s="2">
        <v>3</v>
      </c>
      <c r="I214" s="4">
        <v>199.99</v>
      </c>
      <c r="J214" s="2" t="s">
        <v>20</v>
      </c>
      <c r="K214" s="2" t="s">
        <v>21</v>
      </c>
      <c r="L214" s="2" t="s">
        <v>22</v>
      </c>
      <c r="M214" s="3">
        <v>44735</v>
      </c>
      <c r="N214" s="4">
        <v>599.97</v>
      </c>
      <c r="O214" s="5">
        <f t="shared" ca="1" si="15"/>
        <v>46301.61373611111</v>
      </c>
      <c r="P214" s="6">
        <f t="shared" ca="1" si="16"/>
        <v>46302</v>
      </c>
      <c r="Q214" s="7">
        <f>DATEDIF(Sales_Data[[#This Row],[Customer_Since]],Sales_Data[[#This Row],[Date]],"d")</f>
        <v>969</v>
      </c>
      <c r="R214" s="8">
        <f t="shared" si="17"/>
        <v>45716</v>
      </c>
      <c r="S214" s="9" t="str">
        <f t="shared" si="18"/>
        <v>Feb-25</v>
      </c>
      <c r="T214" s="9">
        <f>COUNTIF(Sales_Data[Product_Name],F214)</f>
        <v>15</v>
      </c>
      <c r="U214" s="9">
        <f>COUNTIF(Sales_Data[Customer_ID],C214)</f>
        <v>6</v>
      </c>
      <c r="V214" s="9" t="str">
        <f t="shared" si="19"/>
        <v>KS</v>
      </c>
    </row>
    <row r="215" spans="1:22" ht="15.75" customHeight="1" x14ac:dyDescent="0.3">
      <c r="A215" s="2" t="s">
        <v>357</v>
      </c>
      <c r="B215" s="3">
        <v>45704</v>
      </c>
      <c r="C215" s="2" t="s">
        <v>15</v>
      </c>
      <c r="D215" s="2" t="s">
        <v>16</v>
      </c>
      <c r="E215" s="2" t="s">
        <v>117</v>
      </c>
      <c r="F215" s="2" t="s">
        <v>118</v>
      </c>
      <c r="G215" s="2" t="s">
        <v>19</v>
      </c>
      <c r="H215" s="2">
        <v>2</v>
      </c>
      <c r="I215" s="4">
        <v>89.99</v>
      </c>
      <c r="J215" s="2" t="s">
        <v>34</v>
      </c>
      <c r="K215" s="2" t="s">
        <v>21</v>
      </c>
      <c r="L215" s="2" t="s">
        <v>22</v>
      </c>
      <c r="M215" s="3">
        <v>45257</v>
      </c>
      <c r="N215" s="4">
        <v>179.98</v>
      </c>
      <c r="O215" s="5">
        <f t="shared" ca="1" si="15"/>
        <v>46301.61373611111</v>
      </c>
      <c r="P215" s="6">
        <f t="shared" ca="1" si="16"/>
        <v>46302</v>
      </c>
      <c r="Q215" s="7">
        <f>DATEDIF(Sales_Data[[#This Row],[Customer_Since]],Sales_Data[[#This Row],[Date]],"d")</f>
        <v>447</v>
      </c>
      <c r="R215" s="8">
        <f t="shared" si="17"/>
        <v>45716</v>
      </c>
      <c r="S215" s="9" t="str">
        <f t="shared" si="18"/>
        <v>Feb-25</v>
      </c>
      <c r="T215" s="9">
        <f>COUNTIF(Sales_Data[Product_Name],F215)</f>
        <v>34</v>
      </c>
      <c r="U215" s="9">
        <f>COUNTIF(Sales_Data[Customer_ID],C215)</f>
        <v>8</v>
      </c>
      <c r="V215" s="9" t="str">
        <f t="shared" si="19"/>
        <v>PB</v>
      </c>
    </row>
    <row r="216" spans="1:22" ht="15.75" customHeight="1" x14ac:dyDescent="0.3">
      <c r="A216" s="2" t="s">
        <v>358</v>
      </c>
      <c r="B216" s="3">
        <v>45705</v>
      </c>
      <c r="C216" s="2" t="s">
        <v>259</v>
      </c>
      <c r="D216" s="2" t="s">
        <v>260</v>
      </c>
      <c r="E216" s="2" t="s">
        <v>44</v>
      </c>
      <c r="F216" s="2" t="s">
        <v>45</v>
      </c>
      <c r="G216" s="2" t="s">
        <v>46</v>
      </c>
      <c r="H216" s="2">
        <v>2</v>
      </c>
      <c r="I216" s="4">
        <v>149.99</v>
      </c>
      <c r="J216" s="2" t="s">
        <v>20</v>
      </c>
      <c r="K216" s="2" t="s">
        <v>35</v>
      </c>
      <c r="L216" s="2" t="s">
        <v>27</v>
      </c>
      <c r="M216" s="3">
        <v>44728</v>
      </c>
      <c r="N216" s="4">
        <v>299.98</v>
      </c>
      <c r="O216" s="5">
        <f t="shared" ca="1" si="15"/>
        <v>46301.61373611111</v>
      </c>
      <c r="P216" s="6">
        <f t="shared" ca="1" si="16"/>
        <v>46302</v>
      </c>
      <c r="Q216" s="7">
        <f>DATEDIF(Sales_Data[[#This Row],[Customer_Since]],Sales_Data[[#This Row],[Date]],"d")</f>
        <v>977</v>
      </c>
      <c r="R216" s="8">
        <f t="shared" si="17"/>
        <v>45716</v>
      </c>
      <c r="S216" s="9" t="str">
        <f t="shared" si="18"/>
        <v>Feb-25</v>
      </c>
      <c r="T216" s="9">
        <f>COUNTIF(Sales_Data[Product_Name],F216)</f>
        <v>35</v>
      </c>
      <c r="U216" s="9">
        <f>COUNTIF(Sales_Data[Customer_ID],C216)</f>
        <v>3</v>
      </c>
      <c r="V216" s="9" t="str">
        <f t="shared" si="19"/>
        <v>RL</v>
      </c>
    </row>
    <row r="217" spans="1:22" ht="15.75" customHeight="1" x14ac:dyDescent="0.3">
      <c r="A217" s="2" t="s">
        <v>359</v>
      </c>
      <c r="B217" s="3">
        <v>45707</v>
      </c>
      <c r="C217" s="2" t="s">
        <v>123</v>
      </c>
      <c r="D217" s="2" t="s">
        <v>124</v>
      </c>
      <c r="E217" s="2" t="s">
        <v>80</v>
      </c>
      <c r="F217" s="2" t="s">
        <v>81</v>
      </c>
      <c r="G217" s="2" t="s">
        <v>19</v>
      </c>
      <c r="H217" s="2">
        <v>5</v>
      </c>
      <c r="I217" s="4">
        <v>699.99</v>
      </c>
      <c r="J217" s="2" t="s">
        <v>34</v>
      </c>
      <c r="K217" s="2" t="s">
        <v>35</v>
      </c>
      <c r="L217" s="2" t="s">
        <v>27</v>
      </c>
      <c r="M217" s="3">
        <v>45352</v>
      </c>
      <c r="N217" s="4">
        <v>3499.95</v>
      </c>
      <c r="O217" s="5">
        <f t="shared" ca="1" si="15"/>
        <v>46301.61373611111</v>
      </c>
      <c r="P217" s="6">
        <f t="shared" ca="1" si="16"/>
        <v>46302</v>
      </c>
      <c r="Q217" s="7">
        <f>DATEDIF(Sales_Data[[#This Row],[Customer_Since]],Sales_Data[[#This Row],[Date]],"d")</f>
        <v>355</v>
      </c>
      <c r="R217" s="8">
        <f t="shared" si="17"/>
        <v>45716</v>
      </c>
      <c r="S217" s="9" t="str">
        <f t="shared" si="18"/>
        <v>Feb-25</v>
      </c>
      <c r="T217" s="9">
        <f>COUNTIF(Sales_Data[Product_Name],F217)</f>
        <v>31</v>
      </c>
      <c r="U217" s="9">
        <f>COUNTIF(Sales_Data[Customer_ID],C217)</f>
        <v>6</v>
      </c>
      <c r="V217" s="9" t="str">
        <f t="shared" si="19"/>
        <v>EM</v>
      </c>
    </row>
    <row r="218" spans="1:22" ht="15.75" customHeight="1" x14ac:dyDescent="0.3">
      <c r="A218" s="2" t="s">
        <v>360</v>
      </c>
      <c r="B218" s="3">
        <v>45707</v>
      </c>
      <c r="C218" s="2" t="s">
        <v>42</v>
      </c>
      <c r="D218" s="2" t="s">
        <v>43</v>
      </c>
      <c r="E218" s="2" t="s">
        <v>44</v>
      </c>
      <c r="F218" s="2" t="s">
        <v>45</v>
      </c>
      <c r="G218" s="2" t="s">
        <v>46</v>
      </c>
      <c r="H218" s="2">
        <v>3</v>
      </c>
      <c r="I218" s="4">
        <v>149.99</v>
      </c>
      <c r="J218" s="2" t="s">
        <v>34</v>
      </c>
      <c r="K218" s="2" t="s">
        <v>21</v>
      </c>
      <c r="L218" s="2" t="s">
        <v>36</v>
      </c>
      <c r="M218" s="3">
        <v>44633</v>
      </c>
      <c r="N218" s="4">
        <v>449.97</v>
      </c>
      <c r="O218" s="5">
        <f t="shared" ca="1" si="15"/>
        <v>46301.61373611111</v>
      </c>
      <c r="P218" s="6">
        <f t="shared" ca="1" si="16"/>
        <v>46302</v>
      </c>
      <c r="Q218" s="7">
        <f>DATEDIF(Sales_Data[[#This Row],[Customer_Since]],Sales_Data[[#This Row],[Date]],"d")</f>
        <v>1074</v>
      </c>
      <c r="R218" s="8">
        <f t="shared" si="17"/>
        <v>45716</v>
      </c>
      <c r="S218" s="9" t="str">
        <f t="shared" si="18"/>
        <v>Feb-25</v>
      </c>
      <c r="T218" s="9">
        <f>COUNTIF(Sales_Data[Product_Name],F218)</f>
        <v>35</v>
      </c>
      <c r="U218" s="9">
        <f>COUNTIF(Sales_Data[Customer_ID],C218)</f>
        <v>9</v>
      </c>
      <c r="V218" s="9" t="str">
        <f t="shared" si="19"/>
        <v>MB</v>
      </c>
    </row>
    <row r="219" spans="1:22" ht="15.75" customHeight="1" x14ac:dyDescent="0.3">
      <c r="A219" s="2" t="s">
        <v>361</v>
      </c>
      <c r="B219" s="3">
        <v>45708</v>
      </c>
      <c r="C219" s="2" t="s">
        <v>96</v>
      </c>
      <c r="D219" s="2" t="s">
        <v>97</v>
      </c>
      <c r="E219" s="2" t="s">
        <v>61</v>
      </c>
      <c r="F219" s="2" t="s">
        <v>62</v>
      </c>
      <c r="G219" s="2" t="s">
        <v>19</v>
      </c>
      <c r="H219" s="2">
        <v>3</v>
      </c>
      <c r="I219" s="4">
        <v>899.99</v>
      </c>
      <c r="J219" s="2" t="s">
        <v>20</v>
      </c>
      <c r="K219" s="2" t="s">
        <v>63</v>
      </c>
      <c r="L219" s="2" t="s">
        <v>36</v>
      </c>
      <c r="M219" s="3">
        <v>44613</v>
      </c>
      <c r="N219" s="4">
        <v>2699.97</v>
      </c>
      <c r="O219" s="5">
        <f t="shared" ca="1" si="15"/>
        <v>46301.61373611111</v>
      </c>
      <c r="P219" s="6">
        <f t="shared" ca="1" si="16"/>
        <v>46302</v>
      </c>
      <c r="Q219" s="7">
        <f>DATEDIF(Sales_Data[[#This Row],[Customer_Since]],Sales_Data[[#This Row],[Date]],"d")</f>
        <v>1095</v>
      </c>
      <c r="R219" s="8">
        <f t="shared" si="17"/>
        <v>45716</v>
      </c>
      <c r="S219" s="9" t="str">
        <f t="shared" si="18"/>
        <v>Feb-25</v>
      </c>
      <c r="T219" s="9">
        <f>COUNTIF(Sales_Data[Product_Name],F219)</f>
        <v>24</v>
      </c>
      <c r="U219" s="9">
        <f>COUNTIF(Sales_Data[Customer_ID],C219)</f>
        <v>5</v>
      </c>
      <c r="V219" s="9" t="str">
        <f t="shared" si="19"/>
        <v>BY</v>
      </c>
    </row>
    <row r="220" spans="1:22" ht="15.75" customHeight="1" x14ac:dyDescent="0.3">
      <c r="A220" s="2" t="s">
        <v>362</v>
      </c>
      <c r="B220" s="3">
        <v>45708</v>
      </c>
      <c r="C220" s="2" t="s">
        <v>192</v>
      </c>
      <c r="D220" s="2" t="s">
        <v>193</v>
      </c>
      <c r="E220" s="2" t="s">
        <v>126</v>
      </c>
      <c r="F220" s="2" t="s">
        <v>127</v>
      </c>
      <c r="G220" s="2" t="s">
        <v>46</v>
      </c>
      <c r="H220" s="2">
        <v>3</v>
      </c>
      <c r="I220" s="4">
        <v>199.99</v>
      </c>
      <c r="J220" s="2" t="s">
        <v>20</v>
      </c>
      <c r="K220" s="2" t="s">
        <v>50</v>
      </c>
      <c r="L220" s="2" t="s">
        <v>27</v>
      </c>
      <c r="M220" s="3">
        <v>44823</v>
      </c>
      <c r="N220" s="4">
        <v>599.97</v>
      </c>
      <c r="O220" s="5">
        <f t="shared" ca="1" si="15"/>
        <v>46301.61373611111</v>
      </c>
      <c r="P220" s="6">
        <f t="shared" ca="1" si="16"/>
        <v>46302</v>
      </c>
      <c r="Q220" s="7">
        <f>DATEDIF(Sales_Data[[#This Row],[Customer_Since]],Sales_Data[[#This Row],[Date]],"d")</f>
        <v>885</v>
      </c>
      <c r="R220" s="8">
        <f t="shared" si="17"/>
        <v>45716</v>
      </c>
      <c r="S220" s="9" t="str">
        <f t="shared" si="18"/>
        <v>Feb-25</v>
      </c>
      <c r="T220" s="9">
        <f>COUNTIF(Sales_Data[Product_Name],F220)</f>
        <v>15</v>
      </c>
      <c r="U220" s="9">
        <f>COUNTIF(Sales_Data[Customer_ID],C220)</f>
        <v>5</v>
      </c>
      <c r="V220" s="9" t="str">
        <f t="shared" si="19"/>
        <v>FT</v>
      </c>
    </row>
    <row r="221" spans="1:22" ht="15.75" customHeight="1" x14ac:dyDescent="0.3">
      <c r="A221" s="2" t="s">
        <v>363</v>
      </c>
      <c r="B221" s="3">
        <v>45710</v>
      </c>
      <c r="C221" s="2" t="s">
        <v>55</v>
      </c>
      <c r="D221" s="2" t="s">
        <v>56</v>
      </c>
      <c r="E221" s="2" t="s">
        <v>105</v>
      </c>
      <c r="F221" s="2" t="s">
        <v>106</v>
      </c>
      <c r="G221" s="2" t="s">
        <v>46</v>
      </c>
      <c r="H221" s="2">
        <v>5</v>
      </c>
      <c r="I221" s="4">
        <v>299.99</v>
      </c>
      <c r="J221" s="2" t="s">
        <v>20</v>
      </c>
      <c r="K221" s="2" t="s">
        <v>50</v>
      </c>
      <c r="L221" s="2" t="s">
        <v>36</v>
      </c>
      <c r="M221" s="3">
        <v>45142</v>
      </c>
      <c r="N221" s="4">
        <v>1499.95</v>
      </c>
      <c r="O221" s="5">
        <f t="shared" ca="1" si="15"/>
        <v>46301.61373611111</v>
      </c>
      <c r="P221" s="6">
        <f t="shared" ca="1" si="16"/>
        <v>46302</v>
      </c>
      <c r="Q221" s="7">
        <f>DATEDIF(Sales_Data[[#This Row],[Customer_Since]],Sales_Data[[#This Row],[Date]],"d")</f>
        <v>568</v>
      </c>
      <c r="R221" s="8">
        <f t="shared" si="17"/>
        <v>45716</v>
      </c>
      <c r="S221" s="9" t="str">
        <f t="shared" si="18"/>
        <v>Feb-25</v>
      </c>
      <c r="T221" s="9">
        <f>COUNTIF(Sales_Data[Product_Name],F221)</f>
        <v>26</v>
      </c>
      <c r="U221" s="9">
        <f>COUNTIF(Sales_Data[Customer_ID],C221)</f>
        <v>9</v>
      </c>
      <c r="V221" s="9" t="str">
        <f t="shared" si="19"/>
        <v>CA</v>
      </c>
    </row>
    <row r="222" spans="1:22" ht="15.75" customHeight="1" x14ac:dyDescent="0.3">
      <c r="A222" s="2" t="s">
        <v>364</v>
      </c>
      <c r="B222" s="3">
        <v>45710</v>
      </c>
      <c r="C222" s="2" t="s">
        <v>150</v>
      </c>
      <c r="D222" s="2" t="s">
        <v>151</v>
      </c>
      <c r="E222" s="2" t="s">
        <v>80</v>
      </c>
      <c r="F222" s="2" t="s">
        <v>81</v>
      </c>
      <c r="G222" s="2" t="s">
        <v>19</v>
      </c>
      <c r="H222" s="2">
        <v>1</v>
      </c>
      <c r="I222" s="4">
        <v>699.99</v>
      </c>
      <c r="J222" s="2" t="s">
        <v>34</v>
      </c>
      <c r="K222" s="2" t="s">
        <v>50</v>
      </c>
      <c r="L222" s="2" t="s">
        <v>22</v>
      </c>
      <c r="M222" s="3">
        <v>44934</v>
      </c>
      <c r="N222" s="4">
        <v>699.99</v>
      </c>
      <c r="O222" s="5">
        <f t="shared" ca="1" si="15"/>
        <v>46301.61373611111</v>
      </c>
      <c r="P222" s="6">
        <f t="shared" ca="1" si="16"/>
        <v>46302</v>
      </c>
      <c r="Q222" s="7">
        <f>DATEDIF(Sales_Data[[#This Row],[Customer_Since]],Sales_Data[[#This Row],[Date]],"d")</f>
        <v>776</v>
      </c>
      <c r="R222" s="8">
        <f t="shared" si="17"/>
        <v>45716</v>
      </c>
      <c r="S222" s="9" t="str">
        <f t="shared" si="18"/>
        <v>Feb-25</v>
      </c>
      <c r="T222" s="9">
        <f>COUNTIF(Sales_Data[Product_Name],F222)</f>
        <v>31</v>
      </c>
      <c r="U222" s="9">
        <f>COUNTIF(Sales_Data[Customer_ID],C222)</f>
        <v>6</v>
      </c>
      <c r="V222" s="9" t="str">
        <f t="shared" si="19"/>
        <v>SB</v>
      </c>
    </row>
    <row r="223" spans="1:22" ht="15.75" customHeight="1" x14ac:dyDescent="0.3">
      <c r="A223" s="2" t="s">
        <v>365</v>
      </c>
      <c r="B223" s="3">
        <v>45711</v>
      </c>
      <c r="C223" s="2" t="s">
        <v>246</v>
      </c>
      <c r="D223" s="2" t="s">
        <v>247</v>
      </c>
      <c r="E223" s="2" t="s">
        <v>80</v>
      </c>
      <c r="F223" s="2" t="s">
        <v>81</v>
      </c>
      <c r="G223" s="2" t="s">
        <v>19</v>
      </c>
      <c r="H223" s="2">
        <v>1</v>
      </c>
      <c r="I223" s="4">
        <v>699.99</v>
      </c>
      <c r="J223" s="2" t="s">
        <v>20</v>
      </c>
      <c r="K223" s="2" t="s">
        <v>40</v>
      </c>
      <c r="L223" s="2" t="s">
        <v>27</v>
      </c>
      <c r="M223" s="3">
        <v>44583</v>
      </c>
      <c r="N223" s="4">
        <v>699.99</v>
      </c>
      <c r="O223" s="5">
        <f t="shared" ca="1" si="15"/>
        <v>46301.61373611111</v>
      </c>
      <c r="P223" s="6">
        <f t="shared" ca="1" si="16"/>
        <v>46302</v>
      </c>
      <c r="Q223" s="7">
        <f>DATEDIF(Sales_Data[[#This Row],[Customer_Since]],Sales_Data[[#This Row],[Date]],"d")</f>
        <v>1128</v>
      </c>
      <c r="R223" s="8">
        <f t="shared" si="17"/>
        <v>45716</v>
      </c>
      <c r="S223" s="9" t="str">
        <f t="shared" si="18"/>
        <v>Feb-25</v>
      </c>
      <c r="T223" s="9">
        <f>COUNTIF(Sales_Data[Product_Name],F223)</f>
        <v>31</v>
      </c>
      <c r="U223" s="9">
        <f>COUNTIF(Sales_Data[Customer_ID],C223)</f>
        <v>3</v>
      </c>
      <c r="V223" s="9" t="str">
        <f t="shared" si="19"/>
        <v>RB</v>
      </c>
    </row>
    <row r="224" spans="1:22" ht="15.75" customHeight="1" x14ac:dyDescent="0.3">
      <c r="A224" s="2" t="s">
        <v>366</v>
      </c>
      <c r="B224" s="3">
        <v>45711</v>
      </c>
      <c r="C224" s="2" t="s">
        <v>325</v>
      </c>
      <c r="D224" s="2" t="s">
        <v>326</v>
      </c>
      <c r="E224" s="2" t="s">
        <v>44</v>
      </c>
      <c r="F224" s="2" t="s">
        <v>45</v>
      </c>
      <c r="G224" s="2" t="s">
        <v>46</v>
      </c>
      <c r="H224" s="2">
        <v>4</v>
      </c>
      <c r="I224" s="4">
        <v>149.99</v>
      </c>
      <c r="J224" s="2" t="s">
        <v>34</v>
      </c>
      <c r="K224" s="2" t="s">
        <v>40</v>
      </c>
      <c r="L224" s="2" t="s">
        <v>27</v>
      </c>
      <c r="M224" s="3">
        <v>44412</v>
      </c>
      <c r="N224" s="4">
        <v>599.96</v>
      </c>
      <c r="O224" s="5">
        <f t="shared" ca="1" si="15"/>
        <v>46301.61373611111</v>
      </c>
      <c r="P224" s="6">
        <f t="shared" ca="1" si="16"/>
        <v>46302</v>
      </c>
      <c r="Q224" s="7">
        <f>DATEDIF(Sales_Data[[#This Row],[Customer_Since]],Sales_Data[[#This Row],[Date]],"d")</f>
        <v>1299</v>
      </c>
      <c r="R224" s="8">
        <f t="shared" si="17"/>
        <v>45716</v>
      </c>
      <c r="S224" s="9" t="str">
        <f t="shared" si="18"/>
        <v>Feb-25</v>
      </c>
      <c r="T224" s="9">
        <f>COUNTIF(Sales_Data[Product_Name],F224)</f>
        <v>35</v>
      </c>
      <c r="U224" s="9">
        <f>COUNTIF(Sales_Data[Customer_ID],C224)</f>
        <v>3</v>
      </c>
      <c r="V224" s="9" t="str">
        <f t="shared" si="19"/>
        <v>AE</v>
      </c>
    </row>
    <row r="225" spans="1:22" ht="15.75" customHeight="1" x14ac:dyDescent="0.3">
      <c r="A225" s="2" t="s">
        <v>367</v>
      </c>
      <c r="B225" s="3">
        <v>45711</v>
      </c>
      <c r="C225" s="2" t="s">
        <v>211</v>
      </c>
      <c r="D225" s="2" t="s">
        <v>212</v>
      </c>
      <c r="E225" s="2" t="s">
        <v>117</v>
      </c>
      <c r="F225" s="2" t="s">
        <v>118</v>
      </c>
      <c r="G225" s="2" t="s">
        <v>19</v>
      </c>
      <c r="H225" s="2">
        <v>5</v>
      </c>
      <c r="I225" s="4">
        <v>89.99</v>
      </c>
      <c r="J225" s="2" t="s">
        <v>34</v>
      </c>
      <c r="K225" s="2" t="s">
        <v>50</v>
      </c>
      <c r="L225" s="2" t="s">
        <v>27</v>
      </c>
      <c r="M225" s="3">
        <v>45140</v>
      </c>
      <c r="N225" s="4">
        <v>449.95</v>
      </c>
      <c r="O225" s="5">
        <f t="shared" ca="1" si="15"/>
        <v>46301.61373611111</v>
      </c>
      <c r="P225" s="6">
        <f t="shared" ca="1" si="16"/>
        <v>46302</v>
      </c>
      <c r="Q225" s="7">
        <f>DATEDIF(Sales_Data[[#This Row],[Customer_Since]],Sales_Data[[#This Row],[Date]],"d")</f>
        <v>571</v>
      </c>
      <c r="R225" s="8">
        <f t="shared" si="17"/>
        <v>45716</v>
      </c>
      <c r="S225" s="9" t="str">
        <f t="shared" si="18"/>
        <v>Feb-25</v>
      </c>
      <c r="T225" s="9">
        <f>COUNTIF(Sales_Data[Product_Name],F225)</f>
        <v>34</v>
      </c>
      <c r="U225" s="9">
        <f>COUNTIF(Sales_Data[Customer_ID],C225)</f>
        <v>4</v>
      </c>
      <c r="V225" s="9" t="str">
        <f t="shared" si="19"/>
        <v>EH</v>
      </c>
    </row>
    <row r="226" spans="1:22" ht="15.75" customHeight="1" x14ac:dyDescent="0.3">
      <c r="A226" s="2" t="s">
        <v>368</v>
      </c>
      <c r="B226" s="3">
        <v>45712</v>
      </c>
      <c r="C226" s="2" t="s">
        <v>138</v>
      </c>
      <c r="D226" s="2" t="s">
        <v>139</v>
      </c>
      <c r="E226" s="2" t="s">
        <v>126</v>
      </c>
      <c r="F226" s="2" t="s">
        <v>127</v>
      </c>
      <c r="G226" s="2" t="s">
        <v>46</v>
      </c>
      <c r="H226" s="2">
        <v>2</v>
      </c>
      <c r="I226" s="4">
        <v>199.99</v>
      </c>
      <c r="J226" s="2" t="s">
        <v>20</v>
      </c>
      <c r="K226" s="2" t="s">
        <v>21</v>
      </c>
      <c r="L226" s="2" t="s">
        <v>27</v>
      </c>
      <c r="M226" s="3">
        <v>44573</v>
      </c>
      <c r="N226" s="4">
        <v>399.98</v>
      </c>
      <c r="O226" s="5">
        <f t="shared" ca="1" si="15"/>
        <v>46301.61373611111</v>
      </c>
      <c r="P226" s="6">
        <f t="shared" ca="1" si="16"/>
        <v>46302</v>
      </c>
      <c r="Q226" s="7">
        <f>DATEDIF(Sales_Data[[#This Row],[Customer_Since]],Sales_Data[[#This Row],[Date]],"d")</f>
        <v>1139</v>
      </c>
      <c r="R226" s="8">
        <f t="shared" si="17"/>
        <v>45716</v>
      </c>
      <c r="S226" s="9" t="str">
        <f t="shared" si="18"/>
        <v>Feb-25</v>
      </c>
      <c r="T226" s="9">
        <f>COUNTIF(Sales_Data[Product_Name],F226)</f>
        <v>15</v>
      </c>
      <c r="U226" s="9">
        <f>COUNTIF(Sales_Data[Customer_ID],C226)</f>
        <v>6</v>
      </c>
      <c r="V226" s="9" t="str">
        <f t="shared" si="19"/>
        <v>ST</v>
      </c>
    </row>
    <row r="227" spans="1:22" ht="15.75" customHeight="1" x14ac:dyDescent="0.3">
      <c r="A227" s="2" t="s">
        <v>369</v>
      </c>
      <c r="B227" s="3">
        <v>45715</v>
      </c>
      <c r="C227" s="2" t="s">
        <v>259</v>
      </c>
      <c r="D227" s="2" t="s">
        <v>260</v>
      </c>
      <c r="E227" s="2" t="s">
        <v>31</v>
      </c>
      <c r="F227" s="2" t="s">
        <v>32</v>
      </c>
      <c r="G227" s="2" t="s">
        <v>33</v>
      </c>
      <c r="H227" s="2">
        <v>4</v>
      </c>
      <c r="I227" s="4">
        <v>59.99</v>
      </c>
      <c r="J227" s="2" t="s">
        <v>20</v>
      </c>
      <c r="K227" s="2" t="s">
        <v>50</v>
      </c>
      <c r="L227" s="2" t="s">
        <v>36</v>
      </c>
      <c r="M227" s="3">
        <v>45070</v>
      </c>
      <c r="N227" s="4">
        <v>239.96</v>
      </c>
      <c r="O227" s="5">
        <f t="shared" ca="1" si="15"/>
        <v>46301.61373611111</v>
      </c>
      <c r="P227" s="6">
        <f t="shared" ca="1" si="16"/>
        <v>46302</v>
      </c>
      <c r="Q227" s="7">
        <f>DATEDIF(Sales_Data[[#This Row],[Customer_Since]],Sales_Data[[#This Row],[Date]],"d")</f>
        <v>645</v>
      </c>
      <c r="R227" s="8">
        <f t="shared" si="17"/>
        <v>45716</v>
      </c>
      <c r="S227" s="9" t="str">
        <f t="shared" si="18"/>
        <v>Feb-25</v>
      </c>
      <c r="T227" s="9">
        <f>COUNTIF(Sales_Data[Product_Name],F227)</f>
        <v>29</v>
      </c>
      <c r="U227" s="9">
        <f>COUNTIF(Sales_Data[Customer_ID],C227)</f>
        <v>3</v>
      </c>
      <c r="V227" s="9" t="str">
        <f t="shared" si="19"/>
        <v>RL</v>
      </c>
    </row>
    <row r="228" spans="1:22" ht="15.75" customHeight="1" x14ac:dyDescent="0.3">
      <c r="A228" s="2" t="s">
        <v>370</v>
      </c>
      <c r="B228" s="3">
        <v>45715</v>
      </c>
      <c r="C228" s="2" t="s">
        <v>93</v>
      </c>
      <c r="D228" s="2" t="s">
        <v>94</v>
      </c>
      <c r="E228" s="2" t="s">
        <v>105</v>
      </c>
      <c r="F228" s="2" t="s">
        <v>106</v>
      </c>
      <c r="G228" s="2" t="s">
        <v>46</v>
      </c>
      <c r="H228" s="2">
        <v>2</v>
      </c>
      <c r="I228" s="4">
        <v>299.99</v>
      </c>
      <c r="J228" s="2" t="s">
        <v>34</v>
      </c>
      <c r="K228" s="2" t="s">
        <v>35</v>
      </c>
      <c r="L228" s="2" t="s">
        <v>22</v>
      </c>
      <c r="M228" s="3">
        <v>44576</v>
      </c>
      <c r="N228" s="4">
        <v>599.98</v>
      </c>
      <c r="O228" s="5">
        <f t="shared" ca="1" si="15"/>
        <v>46301.61373611111</v>
      </c>
      <c r="P228" s="6">
        <f t="shared" ca="1" si="16"/>
        <v>46302</v>
      </c>
      <c r="Q228" s="7">
        <f>DATEDIF(Sales_Data[[#This Row],[Customer_Since]],Sales_Data[[#This Row],[Date]],"d")</f>
        <v>1139</v>
      </c>
      <c r="R228" s="8">
        <f t="shared" si="17"/>
        <v>45716</v>
      </c>
      <c r="S228" s="9" t="str">
        <f t="shared" si="18"/>
        <v>Feb-25</v>
      </c>
      <c r="T228" s="9">
        <f>COUNTIF(Sales_Data[Product_Name],F228)</f>
        <v>26</v>
      </c>
      <c r="U228" s="9">
        <f>COUNTIF(Sales_Data[Customer_ID],C228)</f>
        <v>6</v>
      </c>
      <c r="V228" s="9" t="str">
        <f t="shared" si="19"/>
        <v>VS</v>
      </c>
    </row>
    <row r="229" spans="1:22" ht="15.75" customHeight="1" x14ac:dyDescent="0.3">
      <c r="A229" s="2" t="s">
        <v>371</v>
      </c>
      <c r="B229" s="3">
        <v>45718</v>
      </c>
      <c r="C229" s="2" t="s">
        <v>55</v>
      </c>
      <c r="D229" s="2" t="s">
        <v>56</v>
      </c>
      <c r="E229" s="2" t="s">
        <v>44</v>
      </c>
      <c r="F229" s="2" t="s">
        <v>45</v>
      </c>
      <c r="G229" s="2" t="s">
        <v>46</v>
      </c>
      <c r="H229" s="2">
        <v>2</v>
      </c>
      <c r="I229" s="4">
        <v>149.99</v>
      </c>
      <c r="J229" s="2" t="s">
        <v>20</v>
      </c>
      <c r="K229" s="2" t="s">
        <v>21</v>
      </c>
      <c r="L229" s="2" t="s">
        <v>22</v>
      </c>
      <c r="M229" s="3">
        <v>45068</v>
      </c>
      <c r="N229" s="4">
        <v>299.98</v>
      </c>
      <c r="O229" s="5">
        <f t="shared" ca="1" si="15"/>
        <v>46301.61373611111</v>
      </c>
      <c r="P229" s="6">
        <f t="shared" ca="1" si="16"/>
        <v>46302</v>
      </c>
      <c r="Q229" s="7">
        <f>DATEDIF(Sales_Data[[#This Row],[Customer_Since]],Sales_Data[[#This Row],[Date]],"d")</f>
        <v>650</v>
      </c>
      <c r="R229" s="8">
        <f t="shared" si="17"/>
        <v>45747</v>
      </c>
      <c r="S229" s="9" t="str">
        <f t="shared" si="18"/>
        <v>Mar-25</v>
      </c>
      <c r="T229" s="9">
        <f>COUNTIF(Sales_Data[Product_Name],F229)</f>
        <v>35</v>
      </c>
      <c r="U229" s="9">
        <f>COUNTIF(Sales_Data[Customer_ID],C229)</f>
        <v>9</v>
      </c>
      <c r="V229" s="9" t="str">
        <f t="shared" si="19"/>
        <v>CA</v>
      </c>
    </row>
    <row r="230" spans="1:22" ht="15.75" customHeight="1" x14ac:dyDescent="0.3">
      <c r="A230" s="2" t="s">
        <v>372</v>
      </c>
      <c r="B230" s="3">
        <v>45720</v>
      </c>
      <c r="C230" s="2" t="s">
        <v>226</v>
      </c>
      <c r="D230" s="2" t="s">
        <v>227</v>
      </c>
      <c r="E230" s="2" t="s">
        <v>80</v>
      </c>
      <c r="F230" s="2" t="s">
        <v>81</v>
      </c>
      <c r="G230" s="2" t="s">
        <v>19</v>
      </c>
      <c r="H230" s="2">
        <v>5</v>
      </c>
      <c r="I230" s="4">
        <v>699.99</v>
      </c>
      <c r="J230" s="2" t="s">
        <v>57</v>
      </c>
      <c r="K230" s="2" t="s">
        <v>63</v>
      </c>
      <c r="L230" s="2" t="s">
        <v>27</v>
      </c>
      <c r="M230" s="3">
        <v>45161</v>
      </c>
      <c r="N230" s="4">
        <v>3499.95</v>
      </c>
      <c r="O230" s="5">
        <f t="shared" ca="1" si="15"/>
        <v>46301.61373611111</v>
      </c>
      <c r="P230" s="6">
        <f t="shared" ca="1" si="16"/>
        <v>46302</v>
      </c>
      <c r="Q230" s="7">
        <f>DATEDIF(Sales_Data[[#This Row],[Customer_Since]],Sales_Data[[#This Row],[Date]],"d")</f>
        <v>559</v>
      </c>
      <c r="R230" s="8">
        <f t="shared" si="17"/>
        <v>45747</v>
      </c>
      <c r="S230" s="9" t="str">
        <f t="shared" si="18"/>
        <v>Mar-25</v>
      </c>
      <c r="T230" s="9">
        <f>COUNTIF(Sales_Data[Product_Name],F230)</f>
        <v>31</v>
      </c>
      <c r="U230" s="9">
        <f>COUNTIF(Sales_Data[Customer_ID],C230)</f>
        <v>8</v>
      </c>
      <c r="V230" s="9" t="str">
        <f t="shared" si="19"/>
        <v>LR</v>
      </c>
    </row>
    <row r="231" spans="1:22" ht="15.75" customHeight="1" x14ac:dyDescent="0.3">
      <c r="A231" s="2" t="s">
        <v>373</v>
      </c>
      <c r="B231" s="3">
        <v>45721</v>
      </c>
      <c r="C231" s="2" t="s">
        <v>75</v>
      </c>
      <c r="D231" s="2" t="s">
        <v>76</v>
      </c>
      <c r="E231" s="2" t="s">
        <v>31</v>
      </c>
      <c r="F231" s="2" t="s">
        <v>32</v>
      </c>
      <c r="G231" s="2" t="s">
        <v>33</v>
      </c>
      <c r="H231" s="2">
        <v>5</v>
      </c>
      <c r="I231" s="4">
        <v>59.99</v>
      </c>
      <c r="J231" s="2" t="s">
        <v>20</v>
      </c>
      <c r="K231" s="2" t="s">
        <v>50</v>
      </c>
      <c r="L231" s="2" t="s">
        <v>27</v>
      </c>
      <c r="M231" s="3">
        <v>45291</v>
      </c>
      <c r="N231" s="4">
        <v>299.95</v>
      </c>
      <c r="O231" s="5">
        <f t="shared" ca="1" si="15"/>
        <v>46301.61373611111</v>
      </c>
      <c r="P231" s="6">
        <f t="shared" ca="1" si="16"/>
        <v>46302</v>
      </c>
      <c r="Q231" s="7">
        <f>DATEDIF(Sales_Data[[#This Row],[Customer_Since]],Sales_Data[[#This Row],[Date]],"d")</f>
        <v>430</v>
      </c>
      <c r="R231" s="8">
        <f t="shared" si="17"/>
        <v>45747</v>
      </c>
      <c r="S231" s="9" t="str">
        <f t="shared" si="18"/>
        <v>Mar-25</v>
      </c>
      <c r="T231" s="9">
        <f>COUNTIF(Sales_Data[Product_Name],F231)</f>
        <v>29</v>
      </c>
      <c r="U231" s="9">
        <f>COUNTIF(Sales_Data[Customer_ID],C231)</f>
        <v>2</v>
      </c>
      <c r="V231" s="9" t="str">
        <f t="shared" si="19"/>
        <v>DG</v>
      </c>
    </row>
    <row r="232" spans="1:22" ht="15.75" customHeight="1" x14ac:dyDescent="0.3">
      <c r="A232" s="2" t="s">
        <v>374</v>
      </c>
      <c r="B232" s="3">
        <v>45723</v>
      </c>
      <c r="C232" s="2" t="s">
        <v>15</v>
      </c>
      <c r="D232" s="2" t="s">
        <v>16</v>
      </c>
      <c r="E232" s="2" t="s">
        <v>117</v>
      </c>
      <c r="F232" s="2" t="s">
        <v>118</v>
      </c>
      <c r="G232" s="2" t="s">
        <v>19</v>
      </c>
      <c r="H232" s="2">
        <v>2</v>
      </c>
      <c r="I232" s="4">
        <v>89.99</v>
      </c>
      <c r="J232" s="2" t="s">
        <v>26</v>
      </c>
      <c r="K232" s="2" t="s">
        <v>50</v>
      </c>
      <c r="L232" s="2" t="s">
        <v>27</v>
      </c>
      <c r="M232" s="3">
        <v>45295</v>
      </c>
      <c r="N232" s="4">
        <v>179.98</v>
      </c>
      <c r="O232" s="5">
        <f t="shared" ca="1" si="15"/>
        <v>46301.61373611111</v>
      </c>
      <c r="P232" s="6">
        <f t="shared" ca="1" si="16"/>
        <v>46302</v>
      </c>
      <c r="Q232" s="7">
        <f>DATEDIF(Sales_Data[[#This Row],[Customer_Since]],Sales_Data[[#This Row],[Date]],"d")</f>
        <v>428</v>
      </c>
      <c r="R232" s="8">
        <f t="shared" si="17"/>
        <v>45747</v>
      </c>
      <c r="S232" s="9" t="str">
        <f t="shared" si="18"/>
        <v>Mar-25</v>
      </c>
      <c r="T232" s="9">
        <f>COUNTIF(Sales_Data[Product_Name],F232)</f>
        <v>34</v>
      </c>
      <c r="U232" s="9">
        <f>COUNTIF(Sales_Data[Customer_ID],C232)</f>
        <v>8</v>
      </c>
      <c r="V232" s="9" t="str">
        <f t="shared" si="19"/>
        <v>PB</v>
      </c>
    </row>
    <row r="233" spans="1:22" ht="15.75" customHeight="1" x14ac:dyDescent="0.3">
      <c r="A233" s="2" t="s">
        <v>375</v>
      </c>
      <c r="B233" s="3">
        <v>45723</v>
      </c>
      <c r="C233" s="2" t="s">
        <v>120</v>
      </c>
      <c r="D233" s="2" t="s">
        <v>121</v>
      </c>
      <c r="E233" s="2" t="s">
        <v>17</v>
      </c>
      <c r="F233" s="2" t="s">
        <v>18</v>
      </c>
      <c r="G233" s="2" t="s">
        <v>19</v>
      </c>
      <c r="H233" s="2">
        <v>5</v>
      </c>
      <c r="I233" s="4">
        <v>249.99</v>
      </c>
      <c r="J233" s="2" t="s">
        <v>20</v>
      </c>
      <c r="K233" s="2" t="s">
        <v>63</v>
      </c>
      <c r="L233" s="2" t="s">
        <v>36</v>
      </c>
      <c r="M233" s="3">
        <v>44540</v>
      </c>
      <c r="N233" s="4">
        <v>1249.95</v>
      </c>
      <c r="O233" s="5">
        <f t="shared" ca="1" si="15"/>
        <v>46301.61373611111</v>
      </c>
      <c r="P233" s="6">
        <f t="shared" ca="1" si="16"/>
        <v>46302</v>
      </c>
      <c r="Q233" s="7">
        <f>DATEDIF(Sales_Data[[#This Row],[Customer_Since]],Sales_Data[[#This Row],[Date]],"d")</f>
        <v>1183</v>
      </c>
      <c r="R233" s="8">
        <f t="shared" si="17"/>
        <v>45747</v>
      </c>
      <c r="S233" s="9" t="str">
        <f t="shared" si="18"/>
        <v>Mar-25</v>
      </c>
      <c r="T233" s="9">
        <f>COUNTIF(Sales_Data[Product_Name],F233)</f>
        <v>26</v>
      </c>
      <c r="U233" s="9">
        <f>COUNTIF(Sales_Data[Customer_ID],C233)</f>
        <v>7</v>
      </c>
      <c r="V233" s="9" t="str">
        <f t="shared" si="19"/>
        <v>HR</v>
      </c>
    </row>
    <row r="234" spans="1:22" ht="15.75" customHeight="1" x14ac:dyDescent="0.3">
      <c r="A234" s="2" t="s">
        <v>376</v>
      </c>
      <c r="B234" s="3">
        <v>45724</v>
      </c>
      <c r="C234" s="2" t="s">
        <v>226</v>
      </c>
      <c r="D234" s="2" t="s">
        <v>227</v>
      </c>
      <c r="E234" s="2" t="s">
        <v>44</v>
      </c>
      <c r="F234" s="2" t="s">
        <v>45</v>
      </c>
      <c r="G234" s="2" t="s">
        <v>46</v>
      </c>
      <c r="H234" s="2">
        <v>2</v>
      </c>
      <c r="I234" s="4">
        <v>149.99</v>
      </c>
      <c r="J234" s="2" t="s">
        <v>34</v>
      </c>
      <c r="K234" s="2" t="s">
        <v>21</v>
      </c>
      <c r="L234" s="2" t="s">
        <v>27</v>
      </c>
      <c r="M234" s="3">
        <v>44632</v>
      </c>
      <c r="N234" s="4">
        <v>299.98</v>
      </c>
      <c r="O234" s="5">
        <f t="shared" ca="1" si="15"/>
        <v>46301.61373611111</v>
      </c>
      <c r="P234" s="6">
        <f t="shared" ca="1" si="16"/>
        <v>46302</v>
      </c>
      <c r="Q234" s="7">
        <f>DATEDIF(Sales_Data[[#This Row],[Customer_Since]],Sales_Data[[#This Row],[Date]],"d")</f>
        <v>1092</v>
      </c>
      <c r="R234" s="8">
        <f t="shared" si="17"/>
        <v>45747</v>
      </c>
      <c r="S234" s="9" t="str">
        <f t="shared" si="18"/>
        <v>Mar-25</v>
      </c>
      <c r="T234" s="9">
        <f>COUNTIF(Sales_Data[Product_Name],F234)</f>
        <v>35</v>
      </c>
      <c r="U234" s="9">
        <f>COUNTIF(Sales_Data[Customer_ID],C234)</f>
        <v>8</v>
      </c>
      <c r="V234" s="9" t="str">
        <f t="shared" si="19"/>
        <v>LR</v>
      </c>
    </row>
    <row r="235" spans="1:22" ht="15.75" customHeight="1" x14ac:dyDescent="0.3">
      <c r="A235" s="2" t="s">
        <v>377</v>
      </c>
      <c r="B235" s="3">
        <v>45724</v>
      </c>
      <c r="C235" s="2" t="s">
        <v>144</v>
      </c>
      <c r="D235" s="2" t="s">
        <v>145</v>
      </c>
      <c r="E235" s="2" t="s">
        <v>61</v>
      </c>
      <c r="F235" s="2" t="s">
        <v>62</v>
      </c>
      <c r="G235" s="2" t="s">
        <v>19</v>
      </c>
      <c r="H235" s="2">
        <v>5</v>
      </c>
      <c r="I235" s="4">
        <v>899.99</v>
      </c>
      <c r="J235" s="2" t="s">
        <v>34</v>
      </c>
      <c r="K235" s="2" t="s">
        <v>63</v>
      </c>
      <c r="L235" s="2" t="s">
        <v>27</v>
      </c>
      <c r="M235" s="3">
        <v>45389</v>
      </c>
      <c r="N235" s="4">
        <v>4499.95</v>
      </c>
      <c r="O235" s="5">
        <f t="shared" ca="1" si="15"/>
        <v>46301.61373611111</v>
      </c>
      <c r="P235" s="6">
        <f t="shared" ca="1" si="16"/>
        <v>46302</v>
      </c>
      <c r="Q235" s="7">
        <f>DATEDIF(Sales_Data[[#This Row],[Customer_Since]],Sales_Data[[#This Row],[Date]],"d")</f>
        <v>335</v>
      </c>
      <c r="R235" s="8">
        <f t="shared" si="17"/>
        <v>45747</v>
      </c>
      <c r="S235" s="9" t="str">
        <f t="shared" si="18"/>
        <v>Mar-25</v>
      </c>
      <c r="T235" s="9">
        <f>COUNTIF(Sales_Data[Product_Name],F235)</f>
        <v>24</v>
      </c>
      <c r="U235" s="9">
        <f>COUNTIF(Sales_Data[Customer_ID],C235)</f>
        <v>4</v>
      </c>
      <c r="V235" s="9" t="str">
        <f t="shared" si="19"/>
        <v>HM</v>
      </c>
    </row>
    <row r="236" spans="1:22" ht="15.75" customHeight="1" x14ac:dyDescent="0.3">
      <c r="A236" s="2" t="s">
        <v>378</v>
      </c>
      <c r="B236" s="3">
        <v>45724</v>
      </c>
      <c r="C236" s="2" t="s">
        <v>55</v>
      </c>
      <c r="D236" s="2" t="s">
        <v>56</v>
      </c>
      <c r="E236" s="2" t="s">
        <v>44</v>
      </c>
      <c r="F236" s="2" t="s">
        <v>45</v>
      </c>
      <c r="G236" s="2" t="s">
        <v>46</v>
      </c>
      <c r="H236" s="2">
        <v>4</v>
      </c>
      <c r="I236" s="4">
        <v>149.99</v>
      </c>
      <c r="J236" s="2" t="s">
        <v>20</v>
      </c>
      <c r="K236" s="2" t="s">
        <v>21</v>
      </c>
      <c r="L236" s="2" t="s">
        <v>36</v>
      </c>
      <c r="M236" s="3">
        <v>45263</v>
      </c>
      <c r="N236" s="4">
        <v>599.96</v>
      </c>
      <c r="O236" s="5">
        <f t="shared" ca="1" si="15"/>
        <v>46301.61373611111</v>
      </c>
      <c r="P236" s="6">
        <f t="shared" ca="1" si="16"/>
        <v>46302</v>
      </c>
      <c r="Q236" s="7">
        <f>DATEDIF(Sales_Data[[#This Row],[Customer_Since]],Sales_Data[[#This Row],[Date]],"d")</f>
        <v>461</v>
      </c>
      <c r="R236" s="8">
        <f t="shared" si="17"/>
        <v>45747</v>
      </c>
      <c r="S236" s="9" t="str">
        <f t="shared" si="18"/>
        <v>Mar-25</v>
      </c>
      <c r="T236" s="9">
        <f>COUNTIF(Sales_Data[Product_Name],F236)</f>
        <v>35</v>
      </c>
      <c r="U236" s="9">
        <f>COUNTIF(Sales_Data[Customer_ID],C236)</f>
        <v>9</v>
      </c>
      <c r="V236" s="9" t="str">
        <f t="shared" si="19"/>
        <v>CA</v>
      </c>
    </row>
    <row r="237" spans="1:22" ht="15.75" customHeight="1" x14ac:dyDescent="0.3">
      <c r="A237" s="2" t="s">
        <v>379</v>
      </c>
      <c r="B237" s="3">
        <v>45726</v>
      </c>
      <c r="C237" s="2" t="s">
        <v>144</v>
      </c>
      <c r="D237" s="2" t="s">
        <v>145</v>
      </c>
      <c r="E237" s="2" t="s">
        <v>17</v>
      </c>
      <c r="F237" s="2" t="s">
        <v>18</v>
      </c>
      <c r="G237" s="2" t="s">
        <v>19</v>
      </c>
      <c r="H237" s="2">
        <v>1</v>
      </c>
      <c r="I237" s="4">
        <v>249.99</v>
      </c>
      <c r="J237" s="2" t="s">
        <v>20</v>
      </c>
      <c r="K237" s="2" t="s">
        <v>40</v>
      </c>
      <c r="L237" s="2" t="s">
        <v>36</v>
      </c>
      <c r="M237" s="3">
        <v>45117</v>
      </c>
      <c r="N237" s="4">
        <v>249.99</v>
      </c>
      <c r="O237" s="5">
        <f t="shared" ca="1" si="15"/>
        <v>46301.61373611111</v>
      </c>
      <c r="P237" s="6">
        <f t="shared" ca="1" si="16"/>
        <v>46302</v>
      </c>
      <c r="Q237" s="7">
        <f>DATEDIF(Sales_Data[[#This Row],[Customer_Since]],Sales_Data[[#This Row],[Date]],"d")</f>
        <v>609</v>
      </c>
      <c r="R237" s="8">
        <f t="shared" si="17"/>
        <v>45747</v>
      </c>
      <c r="S237" s="9" t="str">
        <f t="shared" si="18"/>
        <v>Mar-25</v>
      </c>
      <c r="T237" s="9">
        <f>COUNTIF(Sales_Data[Product_Name],F237)</f>
        <v>26</v>
      </c>
      <c r="U237" s="9">
        <f>COUNTIF(Sales_Data[Customer_ID],C237)</f>
        <v>4</v>
      </c>
      <c r="V237" s="9" t="str">
        <f t="shared" si="19"/>
        <v>HM</v>
      </c>
    </row>
    <row r="238" spans="1:22" ht="15.75" customHeight="1" x14ac:dyDescent="0.3">
      <c r="A238" s="2" t="s">
        <v>380</v>
      </c>
      <c r="B238" s="3">
        <v>45734</v>
      </c>
      <c r="C238" s="2" t="s">
        <v>192</v>
      </c>
      <c r="D238" s="2" t="s">
        <v>193</v>
      </c>
      <c r="E238" s="2" t="s">
        <v>31</v>
      </c>
      <c r="F238" s="2" t="s">
        <v>32</v>
      </c>
      <c r="G238" s="2" t="s">
        <v>33</v>
      </c>
      <c r="H238" s="2">
        <v>2</v>
      </c>
      <c r="I238" s="4">
        <v>59.99</v>
      </c>
      <c r="J238" s="2" t="s">
        <v>26</v>
      </c>
      <c r="K238" s="2" t="s">
        <v>50</v>
      </c>
      <c r="L238" s="2" t="s">
        <v>22</v>
      </c>
      <c r="M238" s="3">
        <v>45193</v>
      </c>
      <c r="N238" s="4">
        <v>119.98</v>
      </c>
      <c r="O238" s="5">
        <f t="shared" ca="1" si="15"/>
        <v>46301.61373611111</v>
      </c>
      <c r="P238" s="6">
        <f t="shared" ca="1" si="16"/>
        <v>46302</v>
      </c>
      <c r="Q238" s="7">
        <f>DATEDIF(Sales_Data[[#This Row],[Customer_Since]],Sales_Data[[#This Row],[Date]],"d")</f>
        <v>541</v>
      </c>
      <c r="R238" s="8">
        <f t="shared" si="17"/>
        <v>45747</v>
      </c>
      <c r="S238" s="9" t="str">
        <f t="shared" si="18"/>
        <v>Mar-25</v>
      </c>
      <c r="T238" s="9">
        <f>COUNTIF(Sales_Data[Product_Name],F238)</f>
        <v>29</v>
      </c>
      <c r="U238" s="9">
        <f>COUNTIF(Sales_Data[Customer_ID],C238)</f>
        <v>5</v>
      </c>
      <c r="V238" s="9" t="str">
        <f t="shared" si="19"/>
        <v>FT</v>
      </c>
    </row>
    <row r="239" spans="1:22" ht="15.75" customHeight="1" x14ac:dyDescent="0.3">
      <c r="A239" s="2" t="s">
        <v>381</v>
      </c>
      <c r="B239" s="3">
        <v>45737</v>
      </c>
      <c r="C239" s="2" t="s">
        <v>132</v>
      </c>
      <c r="D239" s="2" t="s">
        <v>133</v>
      </c>
      <c r="E239" s="2" t="s">
        <v>44</v>
      </c>
      <c r="F239" s="2" t="s">
        <v>45</v>
      </c>
      <c r="G239" s="2" t="s">
        <v>46</v>
      </c>
      <c r="H239" s="2">
        <v>2</v>
      </c>
      <c r="I239" s="4">
        <v>149.99</v>
      </c>
      <c r="J239" s="2" t="s">
        <v>20</v>
      </c>
      <c r="K239" s="2" t="s">
        <v>50</v>
      </c>
      <c r="L239" s="2" t="s">
        <v>27</v>
      </c>
      <c r="M239" s="3">
        <v>45233</v>
      </c>
      <c r="N239" s="4">
        <v>299.98</v>
      </c>
      <c r="O239" s="5">
        <f t="shared" ca="1" si="15"/>
        <v>46301.61373611111</v>
      </c>
      <c r="P239" s="6">
        <f t="shared" ca="1" si="16"/>
        <v>46302</v>
      </c>
      <c r="Q239" s="7">
        <f>DATEDIF(Sales_Data[[#This Row],[Customer_Since]],Sales_Data[[#This Row],[Date]],"d")</f>
        <v>504</v>
      </c>
      <c r="R239" s="8">
        <f t="shared" si="17"/>
        <v>45747</v>
      </c>
      <c r="S239" s="9" t="str">
        <f t="shared" si="18"/>
        <v>Mar-25</v>
      </c>
      <c r="T239" s="9">
        <f>COUNTIF(Sales_Data[Product_Name],F239)</f>
        <v>35</v>
      </c>
      <c r="U239" s="9">
        <f>COUNTIF(Sales_Data[Customer_ID],C239)</f>
        <v>5</v>
      </c>
      <c r="V239" s="9" t="str">
        <f t="shared" si="19"/>
        <v>EW</v>
      </c>
    </row>
    <row r="240" spans="1:22" ht="15.75" customHeight="1" x14ac:dyDescent="0.3">
      <c r="A240" s="2" t="s">
        <v>382</v>
      </c>
      <c r="B240" s="3">
        <v>45737</v>
      </c>
      <c r="C240" s="2" t="s">
        <v>150</v>
      </c>
      <c r="D240" s="2" t="s">
        <v>151</v>
      </c>
      <c r="E240" s="2" t="s">
        <v>61</v>
      </c>
      <c r="F240" s="2" t="s">
        <v>62</v>
      </c>
      <c r="G240" s="2" t="s">
        <v>19</v>
      </c>
      <c r="H240" s="2">
        <v>3</v>
      </c>
      <c r="I240" s="4">
        <v>899.99</v>
      </c>
      <c r="J240" s="2" t="s">
        <v>57</v>
      </c>
      <c r="K240" s="2" t="s">
        <v>40</v>
      </c>
      <c r="L240" s="2" t="s">
        <v>27</v>
      </c>
      <c r="M240" s="3">
        <v>44876</v>
      </c>
      <c r="N240" s="4">
        <v>2699.97</v>
      </c>
      <c r="O240" s="5">
        <f t="shared" ca="1" si="15"/>
        <v>46301.61373611111</v>
      </c>
      <c r="P240" s="6">
        <f t="shared" ca="1" si="16"/>
        <v>46302</v>
      </c>
      <c r="Q240" s="7">
        <f>DATEDIF(Sales_Data[[#This Row],[Customer_Since]],Sales_Data[[#This Row],[Date]],"d")</f>
        <v>861</v>
      </c>
      <c r="R240" s="8">
        <f t="shared" si="17"/>
        <v>45747</v>
      </c>
      <c r="S240" s="9" t="str">
        <f t="shared" si="18"/>
        <v>Mar-25</v>
      </c>
      <c r="T240" s="9">
        <f>COUNTIF(Sales_Data[Product_Name],F240)</f>
        <v>24</v>
      </c>
      <c r="U240" s="9">
        <f>COUNTIF(Sales_Data[Customer_ID],C240)</f>
        <v>6</v>
      </c>
      <c r="V240" s="9" t="str">
        <f t="shared" si="19"/>
        <v>SB</v>
      </c>
    </row>
    <row r="241" spans="1:22" ht="15.75" customHeight="1" x14ac:dyDescent="0.3">
      <c r="A241" s="2" t="s">
        <v>383</v>
      </c>
      <c r="B241" s="3">
        <v>45737</v>
      </c>
      <c r="C241" s="2" t="s">
        <v>48</v>
      </c>
      <c r="D241" s="2" t="s">
        <v>49</v>
      </c>
      <c r="E241" s="2" t="s">
        <v>61</v>
      </c>
      <c r="F241" s="2" t="s">
        <v>62</v>
      </c>
      <c r="G241" s="2" t="s">
        <v>19</v>
      </c>
      <c r="H241" s="2">
        <v>3</v>
      </c>
      <c r="I241" s="4">
        <v>899.99</v>
      </c>
      <c r="J241" s="2" t="s">
        <v>34</v>
      </c>
      <c r="K241" s="2" t="s">
        <v>40</v>
      </c>
      <c r="L241" s="2" t="s">
        <v>22</v>
      </c>
      <c r="M241" s="3">
        <v>44975</v>
      </c>
      <c r="N241" s="4">
        <v>2699.97</v>
      </c>
      <c r="O241" s="5">
        <f t="shared" ca="1" si="15"/>
        <v>46301.61373611111</v>
      </c>
      <c r="P241" s="6">
        <f t="shared" ca="1" si="16"/>
        <v>46302</v>
      </c>
      <c r="Q241" s="7">
        <f>DATEDIF(Sales_Data[[#This Row],[Customer_Since]],Sales_Data[[#This Row],[Date]],"d")</f>
        <v>762</v>
      </c>
      <c r="R241" s="8">
        <f t="shared" si="17"/>
        <v>45747</v>
      </c>
      <c r="S241" s="9" t="str">
        <f t="shared" si="18"/>
        <v>Mar-25</v>
      </c>
      <c r="T241" s="9">
        <f>COUNTIF(Sales_Data[Product_Name],F241)</f>
        <v>24</v>
      </c>
      <c r="U241" s="9">
        <f>COUNTIF(Sales_Data[Customer_ID],C241)</f>
        <v>6</v>
      </c>
      <c r="V241" s="9" t="str">
        <f t="shared" si="19"/>
        <v>DN</v>
      </c>
    </row>
    <row r="242" spans="1:22" ht="15.75" customHeight="1" x14ac:dyDescent="0.3">
      <c r="A242" s="2" t="s">
        <v>384</v>
      </c>
      <c r="B242" s="3">
        <v>45739</v>
      </c>
      <c r="C242" s="2" t="s">
        <v>15</v>
      </c>
      <c r="D242" s="2" t="s">
        <v>16</v>
      </c>
      <c r="E242" s="2" t="s">
        <v>105</v>
      </c>
      <c r="F242" s="2" t="s">
        <v>106</v>
      </c>
      <c r="G242" s="2" t="s">
        <v>46</v>
      </c>
      <c r="H242" s="2">
        <v>3</v>
      </c>
      <c r="I242" s="4">
        <v>299.99</v>
      </c>
      <c r="J242" s="2" t="s">
        <v>26</v>
      </c>
      <c r="K242" s="2" t="s">
        <v>50</v>
      </c>
      <c r="L242" s="2" t="s">
        <v>27</v>
      </c>
      <c r="M242" s="3">
        <v>45234</v>
      </c>
      <c r="N242" s="4">
        <v>899.97</v>
      </c>
      <c r="O242" s="5">
        <f t="shared" ca="1" si="15"/>
        <v>46301.61373611111</v>
      </c>
      <c r="P242" s="6">
        <f t="shared" ca="1" si="16"/>
        <v>46302</v>
      </c>
      <c r="Q242" s="7">
        <f>DATEDIF(Sales_Data[[#This Row],[Customer_Since]],Sales_Data[[#This Row],[Date]],"d")</f>
        <v>505</v>
      </c>
      <c r="R242" s="8">
        <f t="shared" si="17"/>
        <v>45747</v>
      </c>
      <c r="S242" s="9" t="str">
        <f t="shared" si="18"/>
        <v>Mar-25</v>
      </c>
      <c r="T242" s="9">
        <f>COUNTIF(Sales_Data[Product_Name],F242)</f>
        <v>26</v>
      </c>
      <c r="U242" s="9">
        <f>COUNTIF(Sales_Data[Customer_ID],C242)</f>
        <v>8</v>
      </c>
      <c r="V242" s="9" t="str">
        <f t="shared" si="19"/>
        <v>PB</v>
      </c>
    </row>
    <row r="243" spans="1:22" ht="15.75" customHeight="1" x14ac:dyDescent="0.3">
      <c r="A243" s="2" t="s">
        <v>385</v>
      </c>
      <c r="B243" s="3">
        <v>45740</v>
      </c>
      <c r="C243" s="2" t="s">
        <v>386</v>
      </c>
      <c r="D243" s="2" t="s">
        <v>387</v>
      </c>
      <c r="E243" s="2" t="s">
        <v>44</v>
      </c>
      <c r="F243" s="2" t="s">
        <v>45</v>
      </c>
      <c r="G243" s="2" t="s">
        <v>46</v>
      </c>
      <c r="H243" s="2">
        <v>4</v>
      </c>
      <c r="I243" s="4">
        <v>149.99</v>
      </c>
      <c r="J243" s="2" t="s">
        <v>34</v>
      </c>
      <c r="K243" s="2" t="s">
        <v>50</v>
      </c>
      <c r="L243" s="2" t="s">
        <v>36</v>
      </c>
      <c r="M243" s="3">
        <v>44560</v>
      </c>
      <c r="N243" s="4">
        <v>599.96</v>
      </c>
      <c r="O243" s="5">
        <f t="shared" ca="1" si="15"/>
        <v>46301.61373611111</v>
      </c>
      <c r="P243" s="6">
        <f t="shared" ca="1" si="16"/>
        <v>46302</v>
      </c>
      <c r="Q243" s="7">
        <f>DATEDIF(Sales_Data[[#This Row],[Customer_Since]],Sales_Data[[#This Row],[Date]],"d")</f>
        <v>1180</v>
      </c>
      <c r="R243" s="8">
        <f t="shared" si="17"/>
        <v>45747</v>
      </c>
      <c r="S243" s="9" t="str">
        <f t="shared" si="18"/>
        <v>Mar-25</v>
      </c>
      <c r="T243" s="9">
        <f>COUNTIF(Sales_Data[Product_Name],F243)</f>
        <v>35</v>
      </c>
      <c r="U243" s="9">
        <f>COUNTIF(Sales_Data[Customer_ID],C243)</f>
        <v>1</v>
      </c>
      <c r="V243" s="9" t="str">
        <f t="shared" si="19"/>
        <v>JS</v>
      </c>
    </row>
    <row r="244" spans="1:22" ht="15.75" customHeight="1" x14ac:dyDescent="0.3">
      <c r="A244" s="2" t="s">
        <v>388</v>
      </c>
      <c r="B244" s="3">
        <v>45743</v>
      </c>
      <c r="C244" s="2" t="s">
        <v>102</v>
      </c>
      <c r="D244" s="2" t="s">
        <v>103</v>
      </c>
      <c r="E244" s="2" t="s">
        <v>114</v>
      </c>
      <c r="F244" s="2" t="s">
        <v>115</v>
      </c>
      <c r="G244" s="2" t="s">
        <v>33</v>
      </c>
      <c r="H244" s="2">
        <v>4</v>
      </c>
      <c r="I244" s="4">
        <v>79.989999999999995</v>
      </c>
      <c r="J244" s="2" t="s">
        <v>26</v>
      </c>
      <c r="K244" s="2" t="s">
        <v>21</v>
      </c>
      <c r="L244" s="2" t="s">
        <v>22</v>
      </c>
      <c r="M244" s="3">
        <v>45288</v>
      </c>
      <c r="N244" s="4">
        <v>319.95999999999998</v>
      </c>
      <c r="O244" s="5">
        <f t="shared" ca="1" si="15"/>
        <v>46301.61373611111</v>
      </c>
      <c r="P244" s="6">
        <f t="shared" ca="1" si="16"/>
        <v>46302</v>
      </c>
      <c r="Q244" s="7">
        <f>DATEDIF(Sales_Data[[#This Row],[Customer_Since]],Sales_Data[[#This Row],[Date]],"d")</f>
        <v>455</v>
      </c>
      <c r="R244" s="8">
        <f t="shared" si="17"/>
        <v>45747</v>
      </c>
      <c r="S244" s="9" t="str">
        <f t="shared" si="18"/>
        <v>Mar-25</v>
      </c>
      <c r="T244" s="9">
        <f>COUNTIF(Sales_Data[Product_Name],F244)</f>
        <v>14</v>
      </c>
      <c r="U244" s="9">
        <f>COUNTIF(Sales_Data[Customer_ID],C244)</f>
        <v>5</v>
      </c>
      <c r="V244" s="9" t="str">
        <f t="shared" si="19"/>
        <v>CP</v>
      </c>
    </row>
    <row r="245" spans="1:22" ht="15.75" customHeight="1" x14ac:dyDescent="0.3">
      <c r="A245" s="2" t="s">
        <v>389</v>
      </c>
      <c r="B245" s="3">
        <v>45745</v>
      </c>
      <c r="C245" s="2" t="s">
        <v>185</v>
      </c>
      <c r="D245" s="2" t="s">
        <v>186</v>
      </c>
      <c r="E245" s="2" t="s">
        <v>117</v>
      </c>
      <c r="F245" s="2" t="s">
        <v>118</v>
      </c>
      <c r="G245" s="2" t="s">
        <v>19</v>
      </c>
      <c r="H245" s="2">
        <v>5</v>
      </c>
      <c r="I245" s="4">
        <v>89.99</v>
      </c>
      <c r="J245" s="2" t="s">
        <v>34</v>
      </c>
      <c r="K245" s="2" t="s">
        <v>35</v>
      </c>
      <c r="L245" s="2" t="s">
        <v>22</v>
      </c>
      <c r="M245" s="3">
        <v>44704</v>
      </c>
      <c r="N245" s="4">
        <v>449.95</v>
      </c>
      <c r="O245" s="5">
        <f t="shared" ca="1" si="15"/>
        <v>46301.61373611111</v>
      </c>
      <c r="P245" s="6">
        <f t="shared" ca="1" si="16"/>
        <v>46302</v>
      </c>
      <c r="Q245" s="7">
        <f>DATEDIF(Sales_Data[[#This Row],[Customer_Since]],Sales_Data[[#This Row],[Date]],"d")</f>
        <v>1041</v>
      </c>
      <c r="R245" s="8">
        <f t="shared" si="17"/>
        <v>45747</v>
      </c>
      <c r="S245" s="9" t="str">
        <f t="shared" si="18"/>
        <v>Mar-25</v>
      </c>
      <c r="T245" s="9">
        <f>COUNTIF(Sales_Data[Product_Name],F245)</f>
        <v>34</v>
      </c>
      <c r="U245" s="9">
        <f>COUNTIF(Sales_Data[Customer_ID],C245)</f>
        <v>4</v>
      </c>
      <c r="V245" s="9" t="str">
        <f t="shared" si="19"/>
        <v>MW</v>
      </c>
    </row>
    <row r="246" spans="1:22" ht="15.75" customHeight="1" x14ac:dyDescent="0.3">
      <c r="A246" s="2" t="s">
        <v>390</v>
      </c>
      <c r="B246" s="3">
        <v>45746</v>
      </c>
      <c r="C246" s="2" t="s">
        <v>93</v>
      </c>
      <c r="D246" s="2" t="s">
        <v>94</v>
      </c>
      <c r="E246" s="2" t="s">
        <v>44</v>
      </c>
      <c r="F246" s="2" t="s">
        <v>45</v>
      </c>
      <c r="G246" s="2" t="s">
        <v>46</v>
      </c>
      <c r="H246" s="2">
        <v>3</v>
      </c>
      <c r="I246" s="4">
        <v>149.99</v>
      </c>
      <c r="J246" s="2" t="s">
        <v>34</v>
      </c>
      <c r="K246" s="2" t="s">
        <v>21</v>
      </c>
      <c r="L246" s="2" t="s">
        <v>36</v>
      </c>
      <c r="M246" s="3">
        <v>45171</v>
      </c>
      <c r="N246" s="4">
        <v>449.97</v>
      </c>
      <c r="O246" s="5">
        <f t="shared" ca="1" si="15"/>
        <v>46301.61373611111</v>
      </c>
      <c r="P246" s="6">
        <f t="shared" ca="1" si="16"/>
        <v>46302</v>
      </c>
      <c r="Q246" s="7">
        <f>DATEDIF(Sales_Data[[#This Row],[Customer_Since]],Sales_Data[[#This Row],[Date]],"d")</f>
        <v>575</v>
      </c>
      <c r="R246" s="8">
        <f t="shared" si="17"/>
        <v>45747</v>
      </c>
      <c r="S246" s="9" t="str">
        <f t="shared" si="18"/>
        <v>Mar-25</v>
      </c>
      <c r="T246" s="9">
        <f>COUNTIF(Sales_Data[Product_Name],F246)</f>
        <v>35</v>
      </c>
      <c r="U246" s="9">
        <f>COUNTIF(Sales_Data[Customer_ID],C246)</f>
        <v>6</v>
      </c>
      <c r="V246" s="9" t="str">
        <f t="shared" si="19"/>
        <v>VS</v>
      </c>
    </row>
    <row r="247" spans="1:22" ht="15.75" customHeight="1" x14ac:dyDescent="0.3">
      <c r="A247" s="2" t="s">
        <v>391</v>
      </c>
      <c r="B247" s="3">
        <v>45746</v>
      </c>
      <c r="C247" s="2" t="s">
        <v>65</v>
      </c>
      <c r="D247" s="2" t="s">
        <v>66</v>
      </c>
      <c r="E247" s="2" t="s">
        <v>117</v>
      </c>
      <c r="F247" s="2" t="s">
        <v>118</v>
      </c>
      <c r="G247" s="2" t="s">
        <v>19</v>
      </c>
      <c r="H247" s="2">
        <v>2</v>
      </c>
      <c r="I247" s="4">
        <v>89.99</v>
      </c>
      <c r="J247" s="2" t="s">
        <v>57</v>
      </c>
      <c r="K247" s="2" t="s">
        <v>50</v>
      </c>
      <c r="L247" s="2" t="s">
        <v>27</v>
      </c>
      <c r="M247" s="3">
        <v>44522</v>
      </c>
      <c r="N247" s="4">
        <v>179.98</v>
      </c>
      <c r="O247" s="5">
        <f t="shared" ca="1" si="15"/>
        <v>46301.61373611111</v>
      </c>
      <c r="P247" s="6">
        <f t="shared" ca="1" si="16"/>
        <v>46302</v>
      </c>
      <c r="Q247" s="7">
        <f>DATEDIF(Sales_Data[[#This Row],[Customer_Since]],Sales_Data[[#This Row],[Date]],"d")</f>
        <v>1224</v>
      </c>
      <c r="R247" s="8">
        <f t="shared" si="17"/>
        <v>45747</v>
      </c>
      <c r="S247" s="9" t="str">
        <f t="shared" si="18"/>
        <v>Mar-25</v>
      </c>
      <c r="T247" s="9">
        <f>COUNTIF(Sales_Data[Product_Name],F247)</f>
        <v>34</v>
      </c>
      <c r="U247" s="9">
        <f>COUNTIF(Sales_Data[Customer_ID],C247)</f>
        <v>8</v>
      </c>
      <c r="V247" s="9" t="str">
        <f t="shared" si="19"/>
        <v>KH</v>
      </c>
    </row>
    <row r="248" spans="1:22" ht="15.75" customHeight="1" x14ac:dyDescent="0.3">
      <c r="A248" s="2" t="s">
        <v>392</v>
      </c>
      <c r="B248" s="3">
        <v>45748</v>
      </c>
      <c r="C248" s="2" t="s">
        <v>102</v>
      </c>
      <c r="D248" s="2" t="s">
        <v>103</v>
      </c>
      <c r="E248" s="2" t="s">
        <v>80</v>
      </c>
      <c r="F248" s="2" t="s">
        <v>81</v>
      </c>
      <c r="G248" s="2" t="s">
        <v>19</v>
      </c>
      <c r="H248" s="2">
        <v>2</v>
      </c>
      <c r="I248" s="4">
        <v>699.99</v>
      </c>
      <c r="J248" s="2" t="s">
        <v>34</v>
      </c>
      <c r="K248" s="2" t="s">
        <v>40</v>
      </c>
      <c r="L248" s="2" t="s">
        <v>36</v>
      </c>
      <c r="M248" s="3">
        <v>44618</v>
      </c>
      <c r="N248" s="4">
        <v>1399.98</v>
      </c>
      <c r="O248" s="5">
        <f t="shared" ca="1" si="15"/>
        <v>46301.61373611111</v>
      </c>
      <c r="P248" s="6">
        <f t="shared" ca="1" si="16"/>
        <v>46302</v>
      </c>
      <c r="Q248" s="7">
        <f>DATEDIF(Sales_Data[[#This Row],[Customer_Since]],Sales_Data[[#This Row],[Date]],"d")</f>
        <v>1130</v>
      </c>
      <c r="R248" s="8">
        <f t="shared" si="17"/>
        <v>45777</v>
      </c>
      <c r="S248" s="9" t="str">
        <f t="shared" si="18"/>
        <v>Apr-25</v>
      </c>
      <c r="T248" s="9">
        <f>COUNTIF(Sales_Data[Product_Name],F248)</f>
        <v>31</v>
      </c>
      <c r="U248" s="9">
        <f>COUNTIF(Sales_Data[Customer_ID],C248)</f>
        <v>5</v>
      </c>
      <c r="V248" s="9" t="str">
        <f t="shared" si="19"/>
        <v>CP</v>
      </c>
    </row>
    <row r="249" spans="1:22" ht="15.75" customHeight="1" x14ac:dyDescent="0.3">
      <c r="A249" s="2" t="s">
        <v>393</v>
      </c>
      <c r="B249" s="3">
        <v>45749</v>
      </c>
      <c r="C249" s="2" t="s">
        <v>123</v>
      </c>
      <c r="D249" s="2" t="s">
        <v>124</v>
      </c>
      <c r="E249" s="2" t="s">
        <v>61</v>
      </c>
      <c r="F249" s="2" t="s">
        <v>62</v>
      </c>
      <c r="G249" s="2" t="s">
        <v>19</v>
      </c>
      <c r="H249" s="2">
        <v>3</v>
      </c>
      <c r="I249" s="4">
        <v>899.99</v>
      </c>
      <c r="J249" s="2" t="s">
        <v>20</v>
      </c>
      <c r="K249" s="2" t="s">
        <v>21</v>
      </c>
      <c r="L249" s="2" t="s">
        <v>36</v>
      </c>
      <c r="M249" s="3">
        <v>44953</v>
      </c>
      <c r="N249" s="4">
        <v>2699.97</v>
      </c>
      <c r="O249" s="5">
        <f t="shared" ca="1" si="15"/>
        <v>46301.61373611111</v>
      </c>
      <c r="P249" s="6">
        <f t="shared" ca="1" si="16"/>
        <v>46302</v>
      </c>
      <c r="Q249" s="7">
        <f>DATEDIF(Sales_Data[[#This Row],[Customer_Since]],Sales_Data[[#This Row],[Date]],"d")</f>
        <v>796</v>
      </c>
      <c r="R249" s="8">
        <f t="shared" si="17"/>
        <v>45777</v>
      </c>
      <c r="S249" s="9" t="str">
        <f t="shared" si="18"/>
        <v>Apr-25</v>
      </c>
      <c r="T249" s="9">
        <f>COUNTIF(Sales_Data[Product_Name],F249)</f>
        <v>24</v>
      </c>
      <c r="U249" s="9">
        <f>COUNTIF(Sales_Data[Customer_ID],C249)</f>
        <v>6</v>
      </c>
      <c r="V249" s="9" t="str">
        <f t="shared" si="19"/>
        <v>EM</v>
      </c>
    </row>
    <row r="250" spans="1:22" ht="15.75" customHeight="1" x14ac:dyDescent="0.3">
      <c r="A250" s="2" t="s">
        <v>394</v>
      </c>
      <c r="B250" s="3">
        <v>45755</v>
      </c>
      <c r="C250" s="2" t="s">
        <v>93</v>
      </c>
      <c r="D250" s="2" t="s">
        <v>94</v>
      </c>
      <c r="E250" s="2" t="s">
        <v>114</v>
      </c>
      <c r="F250" s="2" t="s">
        <v>115</v>
      </c>
      <c r="G250" s="2" t="s">
        <v>33</v>
      </c>
      <c r="H250" s="2">
        <v>3</v>
      </c>
      <c r="I250" s="4">
        <v>79.989999999999995</v>
      </c>
      <c r="J250" s="2" t="s">
        <v>26</v>
      </c>
      <c r="K250" s="2" t="s">
        <v>40</v>
      </c>
      <c r="L250" s="2" t="s">
        <v>22</v>
      </c>
      <c r="M250" s="3">
        <v>44511</v>
      </c>
      <c r="N250" s="4">
        <v>239.97</v>
      </c>
      <c r="O250" s="5">
        <f t="shared" ca="1" si="15"/>
        <v>46301.61373611111</v>
      </c>
      <c r="P250" s="6">
        <f t="shared" ca="1" si="16"/>
        <v>46302</v>
      </c>
      <c r="Q250" s="7">
        <f>DATEDIF(Sales_Data[[#This Row],[Customer_Since]],Sales_Data[[#This Row],[Date]],"d")</f>
        <v>1244</v>
      </c>
      <c r="R250" s="8">
        <f t="shared" si="17"/>
        <v>45777</v>
      </c>
      <c r="S250" s="9" t="str">
        <f t="shared" si="18"/>
        <v>Apr-25</v>
      </c>
      <c r="T250" s="9">
        <f>COUNTIF(Sales_Data[Product_Name],F250)</f>
        <v>14</v>
      </c>
      <c r="U250" s="9">
        <f>COUNTIF(Sales_Data[Customer_ID],C250)</f>
        <v>6</v>
      </c>
      <c r="V250" s="9" t="str">
        <f t="shared" si="19"/>
        <v>VS</v>
      </c>
    </row>
    <row r="251" spans="1:22" ht="15.75" customHeight="1" x14ac:dyDescent="0.3">
      <c r="A251" s="2" t="s">
        <v>395</v>
      </c>
      <c r="B251" s="3">
        <v>45756</v>
      </c>
      <c r="C251" s="2" t="s">
        <v>59</v>
      </c>
      <c r="D251" s="2" t="s">
        <v>60</v>
      </c>
      <c r="E251" s="2" t="s">
        <v>117</v>
      </c>
      <c r="F251" s="2" t="s">
        <v>118</v>
      </c>
      <c r="G251" s="2" t="s">
        <v>19</v>
      </c>
      <c r="H251" s="2">
        <v>1</v>
      </c>
      <c r="I251" s="4">
        <v>89.99</v>
      </c>
      <c r="J251" s="2" t="s">
        <v>57</v>
      </c>
      <c r="K251" s="2" t="s">
        <v>63</v>
      </c>
      <c r="L251" s="2" t="s">
        <v>22</v>
      </c>
      <c r="M251" s="3">
        <v>45346</v>
      </c>
      <c r="N251" s="4">
        <v>89.99</v>
      </c>
      <c r="O251" s="5">
        <f t="shared" ca="1" si="15"/>
        <v>46301.61373611111</v>
      </c>
      <c r="P251" s="6">
        <f t="shared" ca="1" si="16"/>
        <v>46302</v>
      </c>
      <c r="Q251" s="7">
        <f>DATEDIF(Sales_Data[[#This Row],[Customer_Since]],Sales_Data[[#This Row],[Date]],"d")</f>
        <v>410</v>
      </c>
      <c r="R251" s="8">
        <f t="shared" si="17"/>
        <v>45777</v>
      </c>
      <c r="S251" s="9" t="str">
        <f t="shared" si="18"/>
        <v>Apr-25</v>
      </c>
      <c r="T251" s="9">
        <f>COUNTIF(Sales_Data[Product_Name],F251)</f>
        <v>34</v>
      </c>
      <c r="U251" s="9">
        <f>COUNTIF(Sales_Data[Customer_ID],C251)</f>
        <v>5</v>
      </c>
      <c r="V251" s="9" t="str">
        <f t="shared" si="19"/>
        <v>RT</v>
      </c>
    </row>
    <row r="252" spans="1:22" ht="15.75" customHeight="1" x14ac:dyDescent="0.3">
      <c r="A252" s="2" t="s">
        <v>396</v>
      </c>
      <c r="B252" s="3">
        <v>45758</v>
      </c>
      <c r="C252" s="2" t="s">
        <v>293</v>
      </c>
      <c r="D252" s="2" t="s">
        <v>294</v>
      </c>
      <c r="E252" s="2" t="s">
        <v>80</v>
      </c>
      <c r="F252" s="2" t="s">
        <v>81</v>
      </c>
      <c r="G252" s="2" t="s">
        <v>19</v>
      </c>
      <c r="H252" s="2">
        <v>3</v>
      </c>
      <c r="I252" s="4">
        <v>699.99</v>
      </c>
      <c r="J252" s="2" t="s">
        <v>34</v>
      </c>
      <c r="K252" s="2" t="s">
        <v>40</v>
      </c>
      <c r="L252" s="2" t="s">
        <v>22</v>
      </c>
      <c r="M252" s="3">
        <v>44909</v>
      </c>
      <c r="N252" s="4">
        <v>2099.9699999999998</v>
      </c>
      <c r="O252" s="5">
        <f t="shared" ca="1" si="15"/>
        <v>46301.61373611111</v>
      </c>
      <c r="P252" s="6">
        <f t="shared" ca="1" si="16"/>
        <v>46302</v>
      </c>
      <c r="Q252" s="7">
        <f>DATEDIF(Sales_Data[[#This Row],[Customer_Since]],Sales_Data[[#This Row],[Date]],"d")</f>
        <v>849</v>
      </c>
      <c r="R252" s="8">
        <f t="shared" si="17"/>
        <v>45777</v>
      </c>
      <c r="S252" s="9" t="str">
        <f t="shared" si="18"/>
        <v>Apr-25</v>
      </c>
      <c r="T252" s="9">
        <f>COUNTIF(Sales_Data[Product_Name],F252)</f>
        <v>31</v>
      </c>
      <c r="U252" s="9">
        <f>COUNTIF(Sales_Data[Customer_ID],C252)</f>
        <v>4</v>
      </c>
      <c r="V252" s="9" t="str">
        <f t="shared" si="19"/>
        <v>DW</v>
      </c>
    </row>
    <row r="253" spans="1:22" ht="15.75" customHeight="1" x14ac:dyDescent="0.3">
      <c r="A253" s="2" t="s">
        <v>397</v>
      </c>
      <c r="B253" s="3">
        <v>45758</v>
      </c>
      <c r="C253" s="2" t="s">
        <v>226</v>
      </c>
      <c r="D253" s="2" t="s">
        <v>227</v>
      </c>
      <c r="E253" s="2" t="s">
        <v>117</v>
      </c>
      <c r="F253" s="2" t="s">
        <v>118</v>
      </c>
      <c r="G253" s="2" t="s">
        <v>19</v>
      </c>
      <c r="H253" s="2">
        <v>2</v>
      </c>
      <c r="I253" s="4">
        <v>89.99</v>
      </c>
      <c r="J253" s="2" t="s">
        <v>57</v>
      </c>
      <c r="K253" s="2" t="s">
        <v>63</v>
      </c>
      <c r="L253" s="2" t="s">
        <v>22</v>
      </c>
      <c r="M253" s="3">
        <v>45088</v>
      </c>
      <c r="N253" s="4">
        <v>179.98</v>
      </c>
      <c r="O253" s="5">
        <f t="shared" ca="1" si="15"/>
        <v>46301.61373611111</v>
      </c>
      <c r="P253" s="6">
        <f t="shared" ca="1" si="16"/>
        <v>46302</v>
      </c>
      <c r="Q253" s="7">
        <f>DATEDIF(Sales_Data[[#This Row],[Customer_Since]],Sales_Data[[#This Row],[Date]],"d")</f>
        <v>670</v>
      </c>
      <c r="R253" s="8">
        <f t="shared" si="17"/>
        <v>45777</v>
      </c>
      <c r="S253" s="9" t="str">
        <f t="shared" si="18"/>
        <v>Apr-25</v>
      </c>
      <c r="T253" s="9">
        <f>COUNTIF(Sales_Data[Product_Name],F253)</f>
        <v>34</v>
      </c>
      <c r="U253" s="9">
        <f>COUNTIF(Sales_Data[Customer_ID],C253)</f>
        <v>8</v>
      </c>
      <c r="V253" s="9" t="str">
        <f t="shared" si="19"/>
        <v>LR</v>
      </c>
    </row>
    <row r="254" spans="1:22" ht="15.75" customHeight="1" x14ac:dyDescent="0.3">
      <c r="A254" s="2" t="s">
        <v>398</v>
      </c>
      <c r="B254" s="3">
        <v>45758</v>
      </c>
      <c r="C254" s="2" t="s">
        <v>138</v>
      </c>
      <c r="D254" s="2" t="s">
        <v>139</v>
      </c>
      <c r="E254" s="2" t="s">
        <v>117</v>
      </c>
      <c r="F254" s="2" t="s">
        <v>118</v>
      </c>
      <c r="G254" s="2" t="s">
        <v>19</v>
      </c>
      <c r="H254" s="2">
        <v>3</v>
      </c>
      <c r="I254" s="4">
        <v>89.99</v>
      </c>
      <c r="J254" s="2" t="s">
        <v>57</v>
      </c>
      <c r="K254" s="2" t="s">
        <v>40</v>
      </c>
      <c r="L254" s="2" t="s">
        <v>27</v>
      </c>
      <c r="M254" s="3">
        <v>44878</v>
      </c>
      <c r="N254" s="4">
        <v>269.97000000000003</v>
      </c>
      <c r="O254" s="5">
        <f t="shared" ca="1" si="15"/>
        <v>46301.61373611111</v>
      </c>
      <c r="P254" s="6">
        <f t="shared" ca="1" si="16"/>
        <v>46302</v>
      </c>
      <c r="Q254" s="7">
        <f>DATEDIF(Sales_Data[[#This Row],[Customer_Since]],Sales_Data[[#This Row],[Date]],"d")</f>
        <v>880</v>
      </c>
      <c r="R254" s="8">
        <f t="shared" si="17"/>
        <v>45777</v>
      </c>
      <c r="S254" s="9" t="str">
        <f t="shared" si="18"/>
        <v>Apr-25</v>
      </c>
      <c r="T254" s="9">
        <f>COUNTIF(Sales_Data[Product_Name],F254)</f>
        <v>34</v>
      </c>
      <c r="U254" s="9">
        <f>COUNTIF(Sales_Data[Customer_ID],C254)</f>
        <v>6</v>
      </c>
      <c r="V254" s="9" t="str">
        <f t="shared" si="19"/>
        <v>ST</v>
      </c>
    </row>
    <row r="255" spans="1:22" ht="15.75" customHeight="1" x14ac:dyDescent="0.3"/>
    <row r="256" spans="1: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V1"/>
  </mergeCells>
  <conditionalFormatting sqref="N5:N254">
    <cfRule type="dataBar" priority="1">
      <dataBar>
        <cfvo type="min"/>
        <cfvo type="max"/>
        <color rgb="FFD6007B"/>
      </dataBar>
      <extLst>
        <ext xmlns:x14="http://schemas.microsoft.com/office/spreadsheetml/2009/9/main" uri="{B025F937-C7B1-47D3-B67F-A62EFF666E3E}">
          <x14:id>{88976C5B-14B8-4C28-8A8D-A26A7B89E300}</x14:id>
        </ext>
      </extLst>
    </cfRule>
  </conditionalFormatting>
  <conditionalFormatting sqref="N230:N254">
    <cfRule type="dataBar" priority="4">
      <dataBar>
        <cfvo type="min"/>
        <cfvo type="max"/>
        <color rgb="FFFF555A"/>
      </dataBar>
      <extLst>
        <ext xmlns:x14="http://schemas.microsoft.com/office/spreadsheetml/2009/9/main" uri="{B025F937-C7B1-47D3-B67F-A62EFF666E3E}">
          <x14:id>{DD328ED6-1A5B-4DA6-81A1-FEBCFD1645CF}</x14:id>
        </ext>
      </extLst>
    </cfRule>
  </conditionalFormatting>
  <conditionalFormatting sqref="T5:T254">
    <cfRule type="iconSet" priority="5">
      <iconSet iconSet="3Arrows">
        <cfvo type="percent" val="0"/>
        <cfvo type="percent" val="33"/>
        <cfvo type="percent" val="67"/>
      </iconSet>
    </cfRule>
  </conditionalFormatting>
  <pageMargins left="0.75" right="0.75" top="1" bottom="1" header="0" footer="0"/>
  <pageSetup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8976C5B-14B8-4C28-8A8D-A26A7B89E300}">
            <x14:dataBar minLength="0" maxLength="100" border="1" negativeBarBorderColorSameAsPositive="0">
              <x14:cfvo type="autoMin"/>
              <x14:cfvo type="autoMax"/>
              <x14:borderColor rgb="FFD6007B"/>
              <x14:negativeFillColor rgb="FFFF0000"/>
              <x14:negativeBorderColor rgb="FFFF0000"/>
              <x14:axisColor rgb="FF000000"/>
            </x14:dataBar>
          </x14:cfRule>
          <xm:sqref>N5:N254</xm:sqref>
        </x14:conditionalFormatting>
        <x14:conditionalFormatting xmlns:xm="http://schemas.microsoft.com/office/excel/2006/main">
          <x14:cfRule type="dataBar" id="{DD328ED6-1A5B-4DA6-81A1-FEBCFD1645CF}">
            <x14:dataBar minLength="0" maxLength="100" border="1" negativeBarBorderColorSameAsPositive="0">
              <x14:cfvo type="autoMin"/>
              <x14:cfvo type="autoMax"/>
              <x14:borderColor rgb="FFFF555A"/>
              <x14:negativeFillColor rgb="FFFF0000"/>
              <x14:negativeBorderColor rgb="FFFF0000"/>
              <x14:axisColor rgb="FF000000"/>
            </x14:dataBar>
          </x14:cfRule>
          <xm:sqref>N230:N254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1127-89CB-4BE7-9E8B-A7685100DDCE}">
  <dimension ref="A1:S62"/>
  <sheetViews>
    <sheetView zoomScale="72" zoomScaleNormal="72" workbookViewId="0">
      <selection activeCell="R25" sqref="R25"/>
    </sheetView>
  </sheetViews>
  <sheetFormatPr defaultRowHeight="14.4" x14ac:dyDescent="0.3"/>
  <cols>
    <col min="1" max="1" width="17.77734375" bestFit="1" customWidth="1"/>
    <col min="2" max="2" width="19.109375" customWidth="1"/>
    <col min="3" max="3" width="13.6640625" bestFit="1" customWidth="1"/>
    <col min="4" max="4" width="17.77734375" bestFit="1" customWidth="1"/>
    <col min="5" max="5" width="13.109375" bestFit="1" customWidth="1"/>
    <col min="6" max="6" width="12.6640625" bestFit="1" customWidth="1"/>
    <col min="7" max="7" width="13.88671875" bestFit="1" customWidth="1"/>
    <col min="8" max="8" width="17" bestFit="1" customWidth="1"/>
    <col min="9" max="9" width="15.6640625" bestFit="1" customWidth="1"/>
    <col min="10" max="10" width="14.6640625" bestFit="1" customWidth="1"/>
    <col min="11" max="11" width="16.44140625" bestFit="1" customWidth="1"/>
    <col min="12" max="12" width="10.21875" bestFit="1" customWidth="1"/>
    <col min="13" max="13" width="18.109375" customWidth="1"/>
    <col min="14" max="14" width="13.88671875" bestFit="1" customWidth="1"/>
    <col min="15" max="15" width="15.33203125" bestFit="1" customWidth="1"/>
    <col min="16" max="16" width="18" bestFit="1" customWidth="1"/>
    <col min="17" max="17" width="16.44140625" bestFit="1" customWidth="1"/>
    <col min="18" max="18" width="18" bestFit="1" customWidth="1"/>
    <col min="19" max="19" width="14.5546875" bestFit="1" customWidth="1"/>
    <col min="20" max="20" width="13.109375" bestFit="1" customWidth="1"/>
    <col min="21" max="21" width="18" bestFit="1" customWidth="1"/>
  </cols>
  <sheetData>
    <row r="1" spans="1:19" ht="31.2" x14ac:dyDescent="0.6">
      <c r="A1" s="60" t="s">
        <v>408</v>
      </c>
      <c r="B1" s="60"/>
      <c r="C1" s="60"/>
      <c r="D1" s="60"/>
      <c r="E1" s="60"/>
      <c r="F1" s="60"/>
      <c r="G1" s="60"/>
      <c r="H1" s="60"/>
      <c r="I1" s="60"/>
      <c r="J1" s="60"/>
      <c r="K1" s="60"/>
      <c r="L1" s="60"/>
      <c r="M1" s="60"/>
      <c r="N1" s="60"/>
      <c r="O1" s="60"/>
      <c r="P1" s="60"/>
      <c r="Q1" s="60"/>
      <c r="R1" s="60"/>
      <c r="S1" s="60"/>
    </row>
    <row r="3" spans="1:19" ht="23.4" customHeight="1" x14ac:dyDescent="0.3">
      <c r="A3" s="67" t="s">
        <v>409</v>
      </c>
      <c r="B3" s="67"/>
      <c r="D3" s="68" t="s">
        <v>421</v>
      </c>
      <c r="E3" s="69"/>
      <c r="F3" s="69"/>
      <c r="G3" s="70"/>
      <c r="I3" s="59" t="s">
        <v>429</v>
      </c>
      <c r="J3" s="59"/>
      <c r="K3" s="59"/>
      <c r="M3" s="59" t="s">
        <v>434</v>
      </c>
      <c r="N3" s="59"/>
      <c r="P3" s="59" t="s">
        <v>437</v>
      </c>
      <c r="Q3" s="59"/>
      <c r="R3" s="59"/>
    </row>
    <row r="4" spans="1:19" ht="19.2" customHeight="1" x14ac:dyDescent="0.3">
      <c r="A4" s="11" t="s">
        <v>410</v>
      </c>
      <c r="B4" s="11" t="s">
        <v>411</v>
      </c>
      <c r="D4" s="17" t="s">
        <v>410</v>
      </c>
      <c r="E4" s="17" t="s">
        <v>422</v>
      </c>
      <c r="F4" s="17" t="s">
        <v>423</v>
      </c>
      <c r="G4" s="17" t="s">
        <v>424</v>
      </c>
      <c r="I4" s="11" t="s">
        <v>430</v>
      </c>
      <c r="J4" s="11" t="s">
        <v>431</v>
      </c>
      <c r="K4" s="11" t="s">
        <v>432</v>
      </c>
      <c r="M4" s="11" t="s">
        <v>10</v>
      </c>
      <c r="N4" s="11" t="s">
        <v>412</v>
      </c>
      <c r="P4" s="11" t="s">
        <v>438</v>
      </c>
      <c r="Q4" s="34" t="s">
        <v>411</v>
      </c>
      <c r="R4" s="45"/>
    </row>
    <row r="5" spans="1:19" x14ac:dyDescent="0.3">
      <c r="A5" s="12" t="s">
        <v>412</v>
      </c>
      <c r="B5" s="15">
        <f>SUM('Raw Data'!N5:N254)</f>
        <v>229192.47000000032</v>
      </c>
      <c r="D5" s="12" t="s">
        <v>412</v>
      </c>
      <c r="E5" s="13">
        <f>SUM('Raw Data'!N5:N254)</f>
        <v>229192.47000000032</v>
      </c>
      <c r="F5" s="21">
        <v>250000</v>
      </c>
      <c r="G5" s="22" t="str">
        <f ca="1">IF(F5&gt;=G5,"▲ On Track","▼ Below Target")</f>
        <v>▼ Below Target</v>
      </c>
      <c r="I5" s="27" t="s">
        <v>16</v>
      </c>
      <c r="J5" s="28" t="s">
        <v>30</v>
      </c>
      <c r="K5" s="29" t="str" cm="1">
        <f t="array" ref="K5:K7">_xlfn._xlws.FILTER(I5:I9,COUNTIF(J5:J9,I5:I9)&gt;0,"No Match")</f>
        <v>Paul Baker</v>
      </c>
      <c r="M5" s="18" t="s">
        <v>63</v>
      </c>
      <c r="N5" s="20">
        <f>SUMIF('Raw Data'!$K$5:$K$254,M5,'Raw Data'!$N$5:$N$254)</f>
        <v>59288.389999999992</v>
      </c>
      <c r="P5" s="23" t="s">
        <v>439</v>
      </c>
      <c r="Q5" s="35">
        <f>SUM('Raw Data'!N5:N254)</f>
        <v>229192.47000000032</v>
      </c>
      <c r="R5" s="46"/>
    </row>
    <row r="6" spans="1:19" x14ac:dyDescent="0.3">
      <c r="A6" s="12" t="s">
        <v>413</v>
      </c>
      <c r="B6" s="16">
        <f>COUNTA('Raw Data'!A5:A254)</f>
        <v>250</v>
      </c>
      <c r="D6" s="12" t="s">
        <v>413</v>
      </c>
      <c r="E6" s="14">
        <f>COUNTA('Raw Data'!A5:A254)</f>
        <v>250</v>
      </c>
      <c r="F6" s="14">
        <v>300</v>
      </c>
      <c r="G6" s="22" t="str">
        <f t="shared" ref="G6:G9" ca="1" si="0">IF(F6&gt;=G6,"▲ On Track","▼ Below Target")</f>
        <v>▼ Below Target</v>
      </c>
      <c r="I6" s="28" t="s">
        <v>30</v>
      </c>
      <c r="J6" s="28" t="s">
        <v>69</v>
      </c>
      <c r="K6" s="29" t="str">
        <v>Kevin Scott</v>
      </c>
      <c r="M6" s="18" t="s">
        <v>40</v>
      </c>
      <c r="N6" s="20">
        <f>SUMIF('Raw Data'!$K$5:$K$254,M6,'Raw Data'!$N$5:$N$254)</f>
        <v>50808.310000000012</v>
      </c>
      <c r="P6" s="23" t="s">
        <v>440</v>
      </c>
      <c r="Q6" s="36">
        <v>9.0786272341320667E-2</v>
      </c>
      <c r="R6" s="46"/>
    </row>
    <row r="7" spans="1:19" x14ac:dyDescent="0.3">
      <c r="A7" s="12" t="s">
        <v>414</v>
      </c>
      <c r="B7" s="16">
        <f>SUM('Raw Data'!H5:H254)</f>
        <v>753</v>
      </c>
      <c r="D7" s="12" t="s">
        <v>414</v>
      </c>
      <c r="E7" s="14">
        <f>SUM('Raw Data'!H5:H254)</f>
        <v>753</v>
      </c>
      <c r="F7" s="14">
        <v>800</v>
      </c>
      <c r="G7" s="22" t="str">
        <f t="shared" ca="1" si="0"/>
        <v>▼ Below Target</v>
      </c>
      <c r="I7" s="28" t="s">
        <v>43</v>
      </c>
      <c r="J7" s="28" t="s">
        <v>49</v>
      </c>
      <c r="K7" s="29" t="str">
        <v>Dorothy Nelson</v>
      </c>
      <c r="M7" s="18" t="s">
        <v>50</v>
      </c>
      <c r="N7" s="20">
        <f>SUMIF('Raw Data'!$K$5:$K$254,M7,'Raw Data'!$N$5:$N$254)</f>
        <v>41408.680000000015</v>
      </c>
      <c r="P7" s="23" t="s">
        <v>441</v>
      </c>
      <c r="Q7" s="35">
        <f>Q5*(1+Q6)</f>
        <v>250000.00000000032</v>
      </c>
      <c r="R7" s="47"/>
    </row>
    <row r="8" spans="1:19" x14ac:dyDescent="0.3">
      <c r="A8" s="12" t="s">
        <v>415</v>
      </c>
      <c r="B8" s="16">
        <f>COUNTA(_xlfn.UNIQUE('Raw Data'!C5:C254))</f>
        <v>50</v>
      </c>
      <c r="D8" s="12" t="s">
        <v>415</v>
      </c>
      <c r="E8" s="14">
        <f>COUNTA(_xlfn.UNIQUE('Raw Data'!C5:C254))</f>
        <v>50</v>
      </c>
      <c r="F8" s="14">
        <v>60</v>
      </c>
      <c r="G8" s="22" t="str">
        <f t="shared" ca="1" si="0"/>
        <v>▼ Below Target</v>
      </c>
      <c r="I8" s="28" t="s">
        <v>49</v>
      </c>
      <c r="J8" s="28" t="s">
        <v>16</v>
      </c>
      <c r="K8" s="28"/>
      <c r="M8" s="18" t="s">
        <v>21</v>
      </c>
      <c r="N8" s="20">
        <f>SUMIF('Raw Data'!$K$5:$K$254,M8,'Raw Data'!$N$5:$N$254)</f>
        <v>41288.340000000018</v>
      </c>
    </row>
    <row r="9" spans="1:19" ht="15.6" x14ac:dyDescent="0.3">
      <c r="A9" s="12" t="s">
        <v>416</v>
      </c>
      <c r="B9" s="15">
        <f>AVERAGE('Raw Data'!N5:N254)</f>
        <v>916.76988000000131</v>
      </c>
      <c r="D9" s="12" t="s">
        <v>416</v>
      </c>
      <c r="E9" s="13">
        <f>AVERAGE('Raw Data'!N5:N254)</f>
        <v>916.76988000000131</v>
      </c>
      <c r="F9" s="21">
        <v>1000</v>
      </c>
      <c r="G9" s="22" t="str">
        <f t="shared" ca="1" si="0"/>
        <v>▼ Below Target</v>
      </c>
      <c r="I9" s="28" t="s">
        <v>60</v>
      </c>
      <c r="J9" s="28" t="s">
        <v>433</v>
      </c>
      <c r="K9" s="28"/>
      <c r="M9" s="18" t="s">
        <v>35</v>
      </c>
      <c r="N9" s="20">
        <f>SUMIF('Raw Data'!$K$5:$K$254,M9,'Raw Data'!$N$5:$N$254)</f>
        <v>36398.750000000007</v>
      </c>
      <c r="P9" s="59" t="s">
        <v>442</v>
      </c>
      <c r="Q9" s="59"/>
      <c r="R9" s="59"/>
    </row>
    <row r="10" spans="1:19" x14ac:dyDescent="0.3">
      <c r="P10" s="11" t="s">
        <v>443</v>
      </c>
      <c r="Q10" s="11" t="s">
        <v>444</v>
      </c>
      <c r="R10" s="11" t="s">
        <v>441</v>
      </c>
    </row>
    <row r="11" spans="1:19" ht="24" customHeight="1" x14ac:dyDescent="0.3">
      <c r="A11" s="59" t="s">
        <v>417</v>
      </c>
      <c r="B11" s="59"/>
      <c r="C11" s="59"/>
      <c r="D11" s="59"/>
      <c r="F11" s="59" t="s">
        <v>426</v>
      </c>
      <c r="G11" s="59"/>
      <c r="H11" s="59"/>
      <c r="I11" s="59"/>
      <c r="K11" s="59" t="s">
        <v>448</v>
      </c>
      <c r="L11" s="59"/>
      <c r="P11" s="32" t="s">
        <v>445</v>
      </c>
      <c r="Q11" s="31">
        <v>0</v>
      </c>
      <c r="R11" s="13">
        <f>$Q$5*(1+Q11)</f>
        <v>229192.47000000032</v>
      </c>
    </row>
    <row r="12" spans="1:19" ht="20.399999999999999" customHeight="1" x14ac:dyDescent="0.3">
      <c r="A12" s="17" t="s">
        <v>418</v>
      </c>
      <c r="B12" s="17" t="s">
        <v>419</v>
      </c>
      <c r="C12" s="17" t="s">
        <v>412</v>
      </c>
      <c r="D12" s="17" t="s">
        <v>420</v>
      </c>
      <c r="F12" s="17" t="s">
        <v>427</v>
      </c>
      <c r="G12" s="17" t="s">
        <v>428</v>
      </c>
      <c r="H12" s="17" t="s">
        <v>425</v>
      </c>
      <c r="I12" s="17" t="s">
        <v>420</v>
      </c>
      <c r="K12" s="71" t="s">
        <v>450</v>
      </c>
      <c r="L12" s="72"/>
      <c r="P12" s="33" t="s">
        <v>446</v>
      </c>
      <c r="Q12" s="31">
        <v>0.1</v>
      </c>
      <c r="R12" s="13">
        <f>$Q$5*(1+Q12)</f>
        <v>252111.71700000038</v>
      </c>
    </row>
    <row r="13" spans="1:19" x14ac:dyDescent="0.3">
      <c r="A13" s="18" t="str" cm="1">
        <f t="array" ref="A13:A62">_xlfn.UNIQUE('Raw Data'!C5:C254)</f>
        <v>CUST023</v>
      </c>
      <c r="B13" s="19" t="str" cm="1">
        <f t="array" ref="B13:B62">_xlfn.XLOOKUP(_xlfn.ANCHORARRAY(A13),'Raw Data'!C5:C254,'Raw Data'!D5:D254)</f>
        <v>Paul Baker</v>
      </c>
      <c r="C13" s="20" cm="1">
        <f t="array" ref="C13:C62">SUMIF('Raw Data'!C5:C254,_xlfn.ANCHORARRAY(A13),'Raw Data'!N5:N254)</f>
        <v>8309.739999999998</v>
      </c>
      <c r="D13" s="18" cm="1">
        <f t="array" ref="D13:D62">COUNTIF('Raw Data'!C5:C254,_xlfn.ANCHORARRAY(A13))</f>
        <v>8</v>
      </c>
      <c r="F13" s="25" t="str" cm="1">
        <f t="array" ref="F13:F22">_xlfn.UNIQUE('Raw Data'!F5:F254)</f>
        <v>Monitor</v>
      </c>
      <c r="G13" s="18">
        <f>SUMIF('Raw Data'!$F$5:$F$254,F13,'Raw Data'!$H$5:$H$254)</f>
        <v>88</v>
      </c>
      <c r="H13" s="26">
        <f>SUMIF('Raw Data'!$F$5:$F$254,F13,'Raw Data'!$N$5:$N$254)</f>
        <v>21999.119999999999</v>
      </c>
      <c r="I13" s="18">
        <f>COUNTIF('Raw Data'!$F$5:$F$254,F13)</f>
        <v>26</v>
      </c>
      <c r="K13" s="42" t="s">
        <v>451</v>
      </c>
      <c r="L13" s="51">
        <v>1.534701849383825E-2</v>
      </c>
      <c r="P13" s="33" t="s">
        <v>447</v>
      </c>
      <c r="Q13" s="31">
        <v>0.2</v>
      </c>
      <c r="R13" s="13">
        <f>$Q$5*(1+Q13)</f>
        <v>275030.96400000039</v>
      </c>
    </row>
    <row r="14" spans="1:19" x14ac:dyDescent="0.3">
      <c r="A14" s="18" t="str">
        <v>CUST013</v>
      </c>
      <c r="B14" s="19" t="str">
        <v>Joseph Jackson</v>
      </c>
      <c r="C14" s="20">
        <v>6949.84</v>
      </c>
      <c r="D14" s="18">
        <v>5</v>
      </c>
      <c r="F14" s="25" t="str">
        <v>Blender</v>
      </c>
      <c r="G14" s="18">
        <f>SUMIF('Raw Data'!$F$5:$F$254,F14,'Raw Data'!$H$5:$H$254)</f>
        <v>87</v>
      </c>
      <c r="H14" s="26">
        <f>SUMIF('Raw Data'!$F$5:$F$254,F14,'Raw Data'!$N$5:$N$254)</f>
        <v>5219.1299999999974</v>
      </c>
      <c r="I14" s="18">
        <f>COUNTIF('Raw Data'!$F$5:$F$254,F14)</f>
        <v>29</v>
      </c>
      <c r="K14" s="42" t="s">
        <v>452</v>
      </c>
      <c r="L14" s="51">
        <v>2.3553097665021327E-4</v>
      </c>
    </row>
    <row r="15" spans="1:19" x14ac:dyDescent="0.3">
      <c r="A15" s="18" t="str">
        <v>CUST021</v>
      </c>
      <c r="B15" s="19" t="str">
        <v>Kevin Scott</v>
      </c>
      <c r="C15" s="20">
        <v>3259.87</v>
      </c>
      <c r="D15" s="18">
        <v>6</v>
      </c>
      <c r="F15" s="25" t="str">
        <v>Bookshelf</v>
      </c>
      <c r="G15" s="18">
        <f>SUMIF('Raw Data'!$F$5:$F$254,F15,'Raw Data'!$H$5:$H$254)</f>
        <v>102</v>
      </c>
      <c r="H15" s="26">
        <f>SUMIF('Raw Data'!$F$5:$F$254,F15,'Raw Data'!$N$5:$N$254)</f>
        <v>15298.979999999994</v>
      </c>
      <c r="I15" s="18">
        <f>COUNTIF('Raw Data'!$F$5:$F$254,F15)</f>
        <v>35</v>
      </c>
      <c r="K15" s="42" t="s">
        <v>453</v>
      </c>
      <c r="L15" s="51">
        <v>-3.7957773661858748E-3</v>
      </c>
    </row>
    <row r="16" spans="1:19" x14ac:dyDescent="0.3">
      <c r="A16" s="18" t="str">
        <v>CUST046</v>
      </c>
      <c r="B16" s="19" t="str">
        <v>Kathleen Bennett</v>
      </c>
      <c r="C16" s="20">
        <v>4309.8099999999995</v>
      </c>
      <c r="D16" s="18">
        <v>6</v>
      </c>
      <c r="F16" s="25" t="str">
        <v>Headphones</v>
      </c>
      <c r="G16" s="18">
        <f>SUMIF('Raw Data'!$F$5:$F$254,F16,'Raw Data'!$H$5:$H$254)</f>
        <v>47</v>
      </c>
      <c r="H16" s="26">
        <f>SUMIF('Raw Data'!$F$5:$F$254,F16,'Raw Data'!$N$5:$N$254)</f>
        <v>7049.5299999999988</v>
      </c>
      <c r="I16" s="18">
        <f>COUNTIF('Raw Data'!$F$5:$F$254,F16)</f>
        <v>16</v>
      </c>
      <c r="K16" s="42" t="s">
        <v>454</v>
      </c>
      <c r="L16" s="51">
        <v>1034.4107250026311</v>
      </c>
    </row>
    <row r="17" spans="1:19" x14ac:dyDescent="0.3">
      <c r="A17" s="18" t="str">
        <v>CUST003</v>
      </c>
      <c r="B17" s="19" t="str">
        <v>Michael Brown</v>
      </c>
      <c r="C17" s="20">
        <v>6169.7400000000007</v>
      </c>
      <c r="D17" s="18">
        <v>9</v>
      </c>
      <c r="F17" s="25" t="str">
        <v>Laptop</v>
      </c>
      <c r="G17" s="18">
        <f>SUMIF('Raw Data'!$F$5:$F$254,F17,'Raw Data'!$H$5:$H$254)</f>
        <v>75</v>
      </c>
      <c r="H17" s="26">
        <f>SUMIF('Raw Data'!$F$5:$F$254,F17,'Raw Data'!$N$5:$N$254)</f>
        <v>67499.25</v>
      </c>
      <c r="I17" s="18">
        <f>COUNTIF('Raw Data'!$F$5:$F$254,F17)</f>
        <v>24</v>
      </c>
      <c r="K17" s="42" t="s">
        <v>455</v>
      </c>
      <c r="L17" s="52">
        <v>250</v>
      </c>
    </row>
    <row r="18" spans="1:19" x14ac:dyDescent="0.3">
      <c r="A18" s="18" t="str">
        <v>CUST024</v>
      </c>
      <c r="B18" s="19" t="str">
        <v>Dorothy Nelson</v>
      </c>
      <c r="C18" s="20">
        <v>8269.7900000000009</v>
      </c>
      <c r="D18" s="18">
        <v>6</v>
      </c>
      <c r="F18" s="25" t="str">
        <v>Smartphone</v>
      </c>
      <c r="G18" s="18">
        <f>SUMIF('Raw Data'!$F$5:$F$254,F18,'Raw Data'!$H$5:$H$254)</f>
        <v>96</v>
      </c>
      <c r="H18" s="26">
        <f>SUMIF('Raw Data'!$F$5:$F$254,F18,'Raw Data'!$N$5:$N$254)</f>
        <v>67199.039999999994</v>
      </c>
      <c r="I18" s="18">
        <f>COUNTIF('Raw Data'!$F$5:$F$254,F18)</f>
        <v>31</v>
      </c>
    </row>
    <row r="19" spans="1:19" ht="15.6" x14ac:dyDescent="0.3">
      <c r="A19" s="18" t="str">
        <v>CUST017</v>
      </c>
      <c r="B19" s="19" t="str">
        <v>Charles Allen</v>
      </c>
      <c r="C19" s="20">
        <v>5089.7300000000005</v>
      </c>
      <c r="D19" s="18">
        <v>9</v>
      </c>
      <c r="F19" s="25" t="str">
        <v>Desk</v>
      </c>
      <c r="G19" s="18">
        <f>SUMIF('Raw Data'!$F$5:$F$254,F19,'Raw Data'!$H$5:$H$254)</f>
        <v>78</v>
      </c>
      <c r="H19" s="26">
        <f>SUMIF('Raw Data'!$F$5:$F$254,F19,'Raw Data'!$N$5:$N$254)</f>
        <v>23399.22</v>
      </c>
      <c r="I19" s="18">
        <f>COUNTIF('Raw Data'!$F$5:$F$254,F19)</f>
        <v>26</v>
      </c>
      <c r="K19" s="64" t="s">
        <v>456</v>
      </c>
      <c r="L19" s="65"/>
      <c r="M19" s="65"/>
      <c r="N19" s="65"/>
      <c r="O19" s="65"/>
      <c r="P19" s="66"/>
    </row>
    <row r="20" spans="1:19" x14ac:dyDescent="0.3">
      <c r="A20" s="18" t="str">
        <v>CUST009</v>
      </c>
      <c r="B20" s="19" t="str">
        <v>Robert Thomas</v>
      </c>
      <c r="C20" s="20">
        <v>3509.8999999999996</v>
      </c>
      <c r="D20" s="18">
        <v>5</v>
      </c>
      <c r="F20" s="25" t="str">
        <v>Coffee Maker</v>
      </c>
      <c r="G20" s="18">
        <f>SUMIF('Raw Data'!$F$5:$F$254,F20,'Raw Data'!$H$5:$H$254)</f>
        <v>39</v>
      </c>
      <c r="H20" s="26">
        <f>SUMIF('Raw Data'!$F$5:$F$254,F20,'Raw Data'!$N$5:$N$254)</f>
        <v>3119.6099999999992</v>
      </c>
      <c r="I20" s="18">
        <f>COUNTIF('Raw Data'!$F$5:$F$254,F20)</f>
        <v>14</v>
      </c>
      <c r="K20" s="43"/>
      <c r="L20" s="44" t="s">
        <v>461</v>
      </c>
      <c r="M20" s="44" t="s">
        <v>462</v>
      </c>
      <c r="N20" s="44" t="s">
        <v>463</v>
      </c>
      <c r="O20" s="44" t="s">
        <v>464</v>
      </c>
      <c r="P20" s="44" t="s">
        <v>465</v>
      </c>
    </row>
    <row r="21" spans="1:19" x14ac:dyDescent="0.3">
      <c r="A21" s="18" t="str">
        <v>CUST026</v>
      </c>
      <c r="B21" s="19" t="str">
        <v>Karen Hill</v>
      </c>
      <c r="C21" s="20">
        <v>8009.7699999999995</v>
      </c>
      <c r="D21" s="18">
        <v>8</v>
      </c>
      <c r="F21" s="25" t="str">
        <v>Keyboard</v>
      </c>
      <c r="G21" s="18">
        <f>SUMIF('Raw Data'!$F$5:$F$254,F21,'Raw Data'!$H$5:$H$254)</f>
        <v>89</v>
      </c>
      <c r="H21" s="26">
        <f>SUMIF('Raw Data'!$F$5:$F$254,F21,'Raw Data'!$N$5:$N$254)</f>
        <v>8009.1099999999969</v>
      </c>
      <c r="I21" s="18">
        <f>COUNTIF('Raw Data'!$F$5:$F$254,F21)</f>
        <v>34</v>
      </c>
      <c r="K21" s="42" t="s">
        <v>457</v>
      </c>
      <c r="L21" s="14">
        <v>1</v>
      </c>
      <c r="M21" s="50">
        <v>62515.548380106688</v>
      </c>
      <c r="N21" s="50">
        <v>62515.548380106688</v>
      </c>
      <c r="O21" s="50">
        <v>5.8425443210953595E-2</v>
      </c>
      <c r="P21" s="50">
        <v>0.80920186841998809</v>
      </c>
    </row>
    <row r="22" spans="1:19" x14ac:dyDescent="0.3">
      <c r="A22" s="18" t="str">
        <v>CUST022</v>
      </c>
      <c r="B22" s="19" t="str">
        <v>Susan Green</v>
      </c>
      <c r="C22" s="20">
        <v>1979.89</v>
      </c>
      <c r="D22" s="18">
        <v>4</v>
      </c>
      <c r="F22" s="25" t="str">
        <v>Office Chair</v>
      </c>
      <c r="G22" s="18">
        <f>SUMIF('Raw Data'!$F$5:$F$254,F22,'Raw Data'!$H$5:$H$254)</f>
        <v>52</v>
      </c>
      <c r="H22" s="26">
        <f>SUMIF('Raw Data'!$F$5:$F$254,F22,'Raw Data'!$N$5:$N$254)</f>
        <v>10399.479999999998</v>
      </c>
      <c r="I22" s="18">
        <f>COUNTIF('Raw Data'!$F$5:$F$254,F22)</f>
        <v>15</v>
      </c>
      <c r="K22" s="42" t="s">
        <v>458</v>
      </c>
      <c r="L22" s="14">
        <v>248</v>
      </c>
      <c r="M22" s="50">
        <v>265361375.90411636</v>
      </c>
      <c r="N22" s="50">
        <v>1070005.5480004691</v>
      </c>
      <c r="O22" s="50"/>
      <c r="P22" s="50"/>
    </row>
    <row r="23" spans="1:19" x14ac:dyDescent="0.3">
      <c r="A23" s="18" t="str">
        <v>CUST041</v>
      </c>
      <c r="B23" s="19" t="str">
        <v>Peter Richardson</v>
      </c>
      <c r="C23" s="20">
        <v>5949.85</v>
      </c>
      <c r="D23" s="18">
        <v>5</v>
      </c>
      <c r="K23" s="42" t="s">
        <v>459</v>
      </c>
      <c r="L23" s="14">
        <v>249</v>
      </c>
      <c r="M23" s="50">
        <v>265423891.45249647</v>
      </c>
      <c r="N23" s="50"/>
      <c r="O23" s="50"/>
      <c r="P23" s="50"/>
    </row>
    <row r="24" spans="1:19" ht="15.6" x14ac:dyDescent="0.3">
      <c r="A24" s="18" t="str">
        <v>CUST043</v>
      </c>
      <c r="B24" s="19" t="str">
        <v>Dennis Gray</v>
      </c>
      <c r="C24" s="20">
        <v>479.91999999999996</v>
      </c>
      <c r="D24" s="18">
        <v>2</v>
      </c>
      <c r="F24" s="59" t="s">
        <v>435</v>
      </c>
      <c r="G24" s="59"/>
    </row>
    <row r="25" spans="1:19" x14ac:dyDescent="0.3">
      <c r="A25" s="18" t="str">
        <v>CUST038</v>
      </c>
      <c r="B25" s="19" t="str">
        <v>Michelle Rogers</v>
      </c>
      <c r="C25" s="20">
        <v>4199.9399999999996</v>
      </c>
      <c r="D25" s="18">
        <v>2</v>
      </c>
      <c r="F25" s="30" t="s">
        <v>436</v>
      </c>
      <c r="G25" s="30" t="s">
        <v>425</v>
      </c>
    </row>
    <row r="26" spans="1:19" x14ac:dyDescent="0.3">
      <c r="A26" s="18" t="str">
        <v>CUST027</v>
      </c>
      <c r="B26" s="19" t="str">
        <v>George Adams</v>
      </c>
      <c r="C26" s="20">
        <v>3779.93</v>
      </c>
      <c r="D26" s="18">
        <v>3</v>
      </c>
      <c r="F26" s="18" t="s">
        <v>27</v>
      </c>
      <c r="G26" s="20">
        <f>SUMIF('Raw Data'!$L$5:$L$254,F26,'Raw Data'!$N$5:$N$254)</f>
        <v>84657.12000000001</v>
      </c>
    </row>
    <row r="27" spans="1:19" x14ac:dyDescent="0.3">
      <c r="A27" s="18" t="str">
        <v>CUST025</v>
      </c>
      <c r="B27" s="19" t="str">
        <v>Mark Carter</v>
      </c>
      <c r="C27" s="20">
        <v>15659.65</v>
      </c>
      <c r="D27" s="18">
        <v>12</v>
      </c>
      <c r="F27" s="18" t="s">
        <v>36</v>
      </c>
      <c r="G27" s="20">
        <f>SUMIF('Raw Data'!$L$5:$L$254,F27,'Raw Data'!$N$5:$N$254)</f>
        <v>82357.540000000037</v>
      </c>
    </row>
    <row r="28" spans="1:19" x14ac:dyDescent="0.3">
      <c r="A28" s="18" t="str">
        <v>CUST010</v>
      </c>
      <c r="B28" s="19" t="str">
        <v>Maria Garcia</v>
      </c>
      <c r="C28" s="20">
        <v>1909.93</v>
      </c>
      <c r="D28" s="18">
        <v>4</v>
      </c>
      <c r="F28" s="18" t="s">
        <v>22</v>
      </c>
      <c r="G28" s="20">
        <f>SUMIF('Raw Data'!$L$5:$L$254,F28,'Raw Data'!$N$5:$N$254)</f>
        <v>62177.810000000019</v>
      </c>
    </row>
    <row r="29" spans="1:19" x14ac:dyDescent="0.3">
      <c r="A29" s="18" t="str">
        <v>CUST048</v>
      </c>
      <c r="B29" s="19" t="str">
        <v>Virginia Sanders</v>
      </c>
      <c r="C29" s="20">
        <v>4789.7900000000009</v>
      </c>
      <c r="D29" s="18">
        <v>6</v>
      </c>
    </row>
    <row r="30" spans="1:19" ht="26.4" customHeight="1" x14ac:dyDescent="0.3">
      <c r="A30" s="18" t="str">
        <v>CUST018</v>
      </c>
      <c r="B30" s="19" t="str">
        <v>Barbara Young</v>
      </c>
      <c r="C30" s="20">
        <v>10649.8</v>
      </c>
      <c r="D30" s="18">
        <v>5</v>
      </c>
      <c r="F30" s="61" t="s">
        <v>473</v>
      </c>
      <c r="G30" s="62"/>
      <c r="H30" s="62"/>
      <c r="I30" s="62"/>
      <c r="J30" s="62"/>
      <c r="K30" s="62"/>
      <c r="L30" s="62"/>
      <c r="M30" s="62"/>
      <c r="N30" s="62"/>
      <c r="O30" s="62"/>
      <c r="P30" s="62"/>
      <c r="Q30" s="62"/>
      <c r="R30" s="62"/>
      <c r="S30" s="63"/>
    </row>
    <row r="31" spans="1:19" x14ac:dyDescent="0.3">
      <c r="A31" s="18" t="str">
        <v>CUST012</v>
      </c>
      <c r="B31" s="19" t="str">
        <v>Patricia Moore</v>
      </c>
      <c r="C31" s="20">
        <v>9799.73</v>
      </c>
      <c r="D31" s="18">
        <v>8</v>
      </c>
      <c r="F31" s="37"/>
      <c r="S31" s="38"/>
    </row>
    <row r="32" spans="1:19" ht="22.8" customHeight="1" x14ac:dyDescent="0.3">
      <c r="A32" s="18" t="str">
        <v>CUST044</v>
      </c>
      <c r="B32" s="19" t="str">
        <v>Cynthia Price</v>
      </c>
      <c r="C32" s="20">
        <v>3769.8300000000004</v>
      </c>
      <c r="D32" s="18">
        <v>5</v>
      </c>
      <c r="F32" s="49" t="s">
        <v>10</v>
      </c>
      <c r="G32" s="24" t="s">
        <v>63</v>
      </c>
      <c r="I32" s="49" t="s">
        <v>474</v>
      </c>
      <c r="J32" s="24" t="s">
        <v>27</v>
      </c>
      <c r="S32" s="38"/>
    </row>
    <row r="33" spans="1:19" ht="16.2" customHeight="1" x14ac:dyDescent="0.3">
      <c r="A33" s="18" t="str">
        <v>CUST036</v>
      </c>
      <c r="B33" s="19" t="str">
        <v>Nancy Collins</v>
      </c>
      <c r="C33" s="20">
        <v>4189.7700000000004</v>
      </c>
      <c r="D33" s="18">
        <v>6</v>
      </c>
      <c r="F33" s="37"/>
      <c r="S33" s="38"/>
    </row>
    <row r="34" spans="1:19" ht="27.6" x14ac:dyDescent="0.3">
      <c r="A34" s="18" t="str">
        <v>CUST014</v>
      </c>
      <c r="B34" s="19" t="str">
        <v>Linda Martin</v>
      </c>
      <c r="C34" s="20">
        <v>1289.9000000000001</v>
      </c>
      <c r="D34" s="18">
        <v>4</v>
      </c>
      <c r="F34" s="48" t="s">
        <v>0</v>
      </c>
      <c r="G34" s="48" t="s">
        <v>1</v>
      </c>
      <c r="H34" s="48" t="s">
        <v>2</v>
      </c>
      <c r="I34" s="48" t="s">
        <v>3</v>
      </c>
      <c r="J34" s="48" t="s">
        <v>4</v>
      </c>
      <c r="K34" s="48" t="s">
        <v>5</v>
      </c>
      <c r="L34" s="48" t="s">
        <v>6</v>
      </c>
      <c r="M34" s="48" t="s">
        <v>7</v>
      </c>
      <c r="N34" s="48" t="s">
        <v>8</v>
      </c>
      <c r="O34" s="48" t="s">
        <v>9</v>
      </c>
      <c r="P34" s="48" t="s">
        <v>10</v>
      </c>
      <c r="Q34" s="48" t="s">
        <v>11</v>
      </c>
      <c r="R34" s="48" t="s">
        <v>12</v>
      </c>
      <c r="S34" s="48" t="s">
        <v>13</v>
      </c>
    </row>
    <row r="35" spans="1:19" x14ac:dyDescent="0.3">
      <c r="A35" s="18" t="str">
        <v>CUST030</v>
      </c>
      <c r="B35" s="19" t="str">
        <v>Helen Roberts</v>
      </c>
      <c r="C35" s="20">
        <v>6459.79</v>
      </c>
      <c r="D35" s="18">
        <v>7</v>
      </c>
      <c r="F35" s="14" t="str" cm="1">
        <f t="array" ref="F35:S50">_xlfn._xlws.FILTER('Raw Data'!A5:N254,('Raw Data'!K5:K254=G32)*('Raw Data'!L5:L254=J32),"No matching records")</f>
        <v>TRX0235</v>
      </c>
      <c r="G35" s="14">
        <v>45424</v>
      </c>
      <c r="H35" s="14" t="str">
        <v>CUST014</v>
      </c>
      <c r="I35" s="14" t="str">
        <v>Linda Martin</v>
      </c>
      <c r="J35" s="14" t="str">
        <v>P004</v>
      </c>
      <c r="K35" s="14" t="str">
        <v>Coffee Maker</v>
      </c>
      <c r="L35" s="14" t="str">
        <v>Appliances</v>
      </c>
      <c r="M35" s="14">
        <v>3</v>
      </c>
      <c r="N35" s="14">
        <v>79.989999999999995</v>
      </c>
      <c r="O35" s="14" t="str">
        <v>PayPal</v>
      </c>
      <c r="P35" s="14" t="str">
        <v>East</v>
      </c>
      <c r="Q35" s="14" t="str">
        <v>Premium</v>
      </c>
      <c r="R35" s="14">
        <v>45012</v>
      </c>
      <c r="S35" s="14">
        <v>239.97</v>
      </c>
    </row>
    <row r="36" spans="1:19" x14ac:dyDescent="0.3">
      <c r="A36" s="18" t="str">
        <v>CUST029</v>
      </c>
      <c r="B36" s="19" t="str">
        <v>Edward Mitchell</v>
      </c>
      <c r="C36" s="20">
        <v>11919.769999999999</v>
      </c>
      <c r="D36" s="18">
        <v>6</v>
      </c>
      <c r="F36" s="14" t="str">
        <v>TRX0220</v>
      </c>
      <c r="G36" s="14">
        <v>45450</v>
      </c>
      <c r="H36" s="14" t="str">
        <v>CUST003</v>
      </c>
      <c r="I36" s="14" t="str">
        <v>Michael Brown</v>
      </c>
      <c r="J36" s="14" t="str">
        <v>P008</v>
      </c>
      <c r="K36" s="14" t="str">
        <v>Bookshelf</v>
      </c>
      <c r="L36" s="14" t="str">
        <v>Furniture</v>
      </c>
      <c r="M36" s="14">
        <v>2</v>
      </c>
      <c r="N36" s="14">
        <v>149.99</v>
      </c>
      <c r="O36" s="14" t="str">
        <v>Cash</v>
      </c>
      <c r="P36" s="14" t="str">
        <v>East</v>
      </c>
      <c r="Q36" s="14" t="str">
        <v>Premium</v>
      </c>
      <c r="R36" s="14">
        <v>44645</v>
      </c>
      <c r="S36" s="14">
        <v>299.98</v>
      </c>
    </row>
    <row r="37" spans="1:19" x14ac:dyDescent="0.3">
      <c r="A37" s="18" t="str">
        <v>CUST006</v>
      </c>
      <c r="B37" s="19" t="str">
        <v>Lisa Anderson</v>
      </c>
      <c r="C37" s="20">
        <v>2039.8000000000002</v>
      </c>
      <c r="D37" s="18">
        <v>5</v>
      </c>
      <c r="F37" s="14" t="str">
        <v>TRX0044</v>
      </c>
      <c r="G37" s="14">
        <v>45459</v>
      </c>
      <c r="H37" s="14" t="str">
        <v>CUST029</v>
      </c>
      <c r="I37" s="14" t="str">
        <v>Edward Mitchell</v>
      </c>
      <c r="J37" s="14" t="str">
        <v>P001</v>
      </c>
      <c r="K37" s="14" t="str">
        <v>Laptop</v>
      </c>
      <c r="L37" s="14" t="str">
        <v>Electronics</v>
      </c>
      <c r="M37" s="14">
        <v>5</v>
      </c>
      <c r="N37" s="14">
        <v>899.99</v>
      </c>
      <c r="O37" s="14" t="str">
        <v>PayPal</v>
      </c>
      <c r="P37" s="14" t="str">
        <v>East</v>
      </c>
      <c r="Q37" s="14" t="str">
        <v>Premium</v>
      </c>
      <c r="R37" s="14">
        <v>45278</v>
      </c>
      <c r="S37" s="14">
        <v>4499.95</v>
      </c>
    </row>
    <row r="38" spans="1:19" x14ac:dyDescent="0.3">
      <c r="A38" s="18" t="str">
        <v>CUST002</v>
      </c>
      <c r="B38" s="19" t="str">
        <v>Emma Wilson</v>
      </c>
      <c r="C38" s="20">
        <v>1229.8800000000001</v>
      </c>
      <c r="D38" s="18">
        <v>5</v>
      </c>
      <c r="F38" s="14" t="str">
        <v>TRX0184</v>
      </c>
      <c r="G38" s="14">
        <v>45471</v>
      </c>
      <c r="H38" s="14" t="str">
        <v>CUST046</v>
      </c>
      <c r="I38" s="14" t="str">
        <v>Kathleen Bennett</v>
      </c>
      <c r="J38" s="14" t="str">
        <v>P002</v>
      </c>
      <c r="K38" s="14" t="str">
        <v>Smartphone</v>
      </c>
      <c r="L38" s="14" t="str">
        <v>Electronics</v>
      </c>
      <c r="M38" s="14">
        <v>3</v>
      </c>
      <c r="N38" s="14">
        <v>699.99</v>
      </c>
      <c r="O38" s="14" t="str">
        <v>Credit Card</v>
      </c>
      <c r="P38" s="14" t="str">
        <v>East</v>
      </c>
      <c r="Q38" s="14" t="str">
        <v>Premium</v>
      </c>
      <c r="R38" s="14">
        <v>45102</v>
      </c>
      <c r="S38" s="14">
        <v>2099.9699999999998</v>
      </c>
    </row>
    <row r="39" spans="1:19" x14ac:dyDescent="0.3">
      <c r="A39" s="18" t="str">
        <v>CUST031</v>
      </c>
      <c r="B39" s="19" t="str">
        <v>Steven Turner</v>
      </c>
      <c r="C39" s="20">
        <v>2649.83</v>
      </c>
      <c r="D39" s="18">
        <v>6</v>
      </c>
      <c r="F39" s="14" t="str">
        <v>TRX0104</v>
      </c>
      <c r="G39" s="14">
        <v>45471</v>
      </c>
      <c r="H39" s="14" t="str">
        <v>CUST012</v>
      </c>
      <c r="I39" s="14" t="str">
        <v>Patricia Moore</v>
      </c>
      <c r="J39" s="14" t="str">
        <v>P001</v>
      </c>
      <c r="K39" s="14" t="str">
        <v>Laptop</v>
      </c>
      <c r="L39" s="14" t="str">
        <v>Electronics</v>
      </c>
      <c r="M39" s="14">
        <v>4</v>
      </c>
      <c r="N39" s="14">
        <v>899.99</v>
      </c>
      <c r="O39" s="14" t="str">
        <v>Credit Card</v>
      </c>
      <c r="P39" s="14" t="str">
        <v>East</v>
      </c>
      <c r="Q39" s="14" t="str">
        <v>Premium</v>
      </c>
      <c r="R39" s="14">
        <v>44993</v>
      </c>
      <c r="S39" s="14">
        <v>3599.96</v>
      </c>
    </row>
    <row r="40" spans="1:19" x14ac:dyDescent="0.3">
      <c r="A40" s="18" t="str">
        <v>CUST008</v>
      </c>
      <c r="B40" s="19" t="str">
        <v>Jennifer Taylor</v>
      </c>
      <c r="C40" s="20">
        <v>4739.8500000000004</v>
      </c>
      <c r="D40" s="18">
        <v>4</v>
      </c>
      <c r="F40" s="14" t="str">
        <v>TRX0113</v>
      </c>
      <c r="G40" s="14">
        <v>45481</v>
      </c>
      <c r="H40" s="14" t="str">
        <v>CUST003</v>
      </c>
      <c r="I40" s="14" t="str">
        <v>Michael Brown</v>
      </c>
      <c r="J40" s="14" t="str">
        <v>P002</v>
      </c>
      <c r="K40" s="14" t="str">
        <v>Smartphone</v>
      </c>
      <c r="L40" s="14" t="str">
        <v>Electronics</v>
      </c>
      <c r="M40" s="14">
        <v>2</v>
      </c>
      <c r="N40" s="14">
        <v>699.99</v>
      </c>
      <c r="O40" s="14" t="str">
        <v>PayPal</v>
      </c>
      <c r="P40" s="14" t="str">
        <v>East</v>
      </c>
      <c r="Q40" s="14" t="str">
        <v>Premium</v>
      </c>
      <c r="R40" s="14">
        <v>45389</v>
      </c>
      <c r="S40" s="14">
        <v>1399.98</v>
      </c>
    </row>
    <row r="41" spans="1:19" x14ac:dyDescent="0.3">
      <c r="A41" s="18" t="str">
        <v>CUST035</v>
      </c>
      <c r="B41" s="19" t="str">
        <v>Harry Morgan</v>
      </c>
      <c r="C41" s="20">
        <v>5519.8899999999994</v>
      </c>
      <c r="D41" s="18">
        <v>4</v>
      </c>
      <c r="F41" s="14" t="str">
        <v>TRX0075</v>
      </c>
      <c r="G41" s="14">
        <v>45517</v>
      </c>
      <c r="H41" s="14" t="str">
        <v>CUST020</v>
      </c>
      <c r="I41" s="14" t="str">
        <v>Margaret Wright</v>
      </c>
      <c r="J41" s="14" t="str">
        <v>P009</v>
      </c>
      <c r="K41" s="14" t="str">
        <v>Monitor</v>
      </c>
      <c r="L41" s="14" t="str">
        <v>Electronics</v>
      </c>
      <c r="M41" s="14">
        <v>5</v>
      </c>
      <c r="N41" s="14">
        <v>249.99</v>
      </c>
      <c r="O41" s="14" t="str">
        <v>PayPal</v>
      </c>
      <c r="P41" s="14" t="str">
        <v>East</v>
      </c>
      <c r="Q41" s="14" t="str">
        <v>Premium</v>
      </c>
      <c r="R41" s="14">
        <v>44782</v>
      </c>
      <c r="S41" s="14">
        <v>1249.95</v>
      </c>
    </row>
    <row r="42" spans="1:19" x14ac:dyDescent="0.3">
      <c r="A42" s="18" t="str">
        <v>CUST019</v>
      </c>
      <c r="B42" s="19" t="str">
        <v>Daniel King</v>
      </c>
      <c r="C42" s="20">
        <v>7309.7999999999993</v>
      </c>
      <c r="D42" s="18">
        <v>7</v>
      </c>
      <c r="F42" s="14" t="str">
        <v>TRX0140</v>
      </c>
      <c r="G42" s="14">
        <v>45522</v>
      </c>
      <c r="H42" s="14" t="str">
        <v>CUST025</v>
      </c>
      <c r="I42" s="14" t="str">
        <v>Mark Carter</v>
      </c>
      <c r="J42" s="14" t="str">
        <v>P010</v>
      </c>
      <c r="K42" s="14" t="str">
        <v>Keyboard</v>
      </c>
      <c r="L42" s="14" t="str">
        <v>Electronics</v>
      </c>
      <c r="M42" s="14">
        <v>2</v>
      </c>
      <c r="N42" s="14">
        <v>89.99</v>
      </c>
      <c r="O42" s="14" t="str">
        <v>Cash</v>
      </c>
      <c r="P42" s="14" t="str">
        <v>East</v>
      </c>
      <c r="Q42" s="14" t="str">
        <v>Premium</v>
      </c>
      <c r="R42" s="14">
        <v>44972</v>
      </c>
      <c r="S42" s="14">
        <v>179.98</v>
      </c>
    </row>
    <row r="43" spans="1:19" x14ac:dyDescent="0.3">
      <c r="A43" s="18" t="str">
        <v>CUST040</v>
      </c>
      <c r="B43" s="19" t="str">
        <v>Sharon Butler</v>
      </c>
      <c r="C43" s="20">
        <v>5619.869999999999</v>
      </c>
      <c r="D43" s="18">
        <v>6</v>
      </c>
      <c r="F43" s="14" t="str">
        <v>TRX0077</v>
      </c>
      <c r="G43" s="14">
        <v>45554</v>
      </c>
      <c r="H43" s="14" t="str">
        <v>CUST019</v>
      </c>
      <c r="I43" s="14" t="str">
        <v>Daniel King</v>
      </c>
      <c r="J43" s="14" t="str">
        <v>P010</v>
      </c>
      <c r="K43" s="14" t="str">
        <v>Keyboard</v>
      </c>
      <c r="L43" s="14" t="str">
        <v>Electronics</v>
      </c>
      <c r="M43" s="14">
        <v>5</v>
      </c>
      <c r="N43" s="14">
        <v>89.99</v>
      </c>
      <c r="O43" s="14" t="str">
        <v>Credit Card</v>
      </c>
      <c r="P43" s="14" t="str">
        <v>East</v>
      </c>
      <c r="Q43" s="14" t="str">
        <v>Premium</v>
      </c>
      <c r="R43" s="14">
        <v>44446</v>
      </c>
      <c r="S43" s="14">
        <v>449.95</v>
      </c>
    </row>
    <row r="44" spans="1:19" x14ac:dyDescent="0.3">
      <c r="A44" s="18" t="str">
        <v>CUST004</v>
      </c>
      <c r="B44" s="19" t="str">
        <v>Sarah Davis</v>
      </c>
      <c r="C44" s="20">
        <v>5499.8099999999995</v>
      </c>
      <c r="D44" s="18">
        <v>5</v>
      </c>
      <c r="F44" s="14" t="str">
        <v>TRX0055</v>
      </c>
      <c r="G44" s="14">
        <v>45573</v>
      </c>
      <c r="H44" s="14" t="str">
        <v>CUST016</v>
      </c>
      <c r="I44" s="14" t="str">
        <v>Elizabeth Hall</v>
      </c>
      <c r="J44" s="14" t="str">
        <v>P002</v>
      </c>
      <c r="K44" s="14" t="str">
        <v>Smartphone</v>
      </c>
      <c r="L44" s="14" t="str">
        <v>Electronics</v>
      </c>
      <c r="M44" s="14">
        <v>2</v>
      </c>
      <c r="N44" s="14">
        <v>699.99</v>
      </c>
      <c r="O44" s="14" t="str">
        <v>Debit Card</v>
      </c>
      <c r="P44" s="14" t="str">
        <v>East</v>
      </c>
      <c r="Q44" s="14" t="str">
        <v>Premium</v>
      </c>
      <c r="R44" s="14">
        <v>45274</v>
      </c>
      <c r="S44" s="14">
        <v>1399.98</v>
      </c>
    </row>
    <row r="45" spans="1:19" x14ac:dyDescent="0.3">
      <c r="A45" s="18" t="str">
        <v>CUST028</v>
      </c>
      <c r="B45" s="19" t="str">
        <v>Betty Campbell</v>
      </c>
      <c r="C45" s="20">
        <v>5649.84</v>
      </c>
      <c r="D45" s="18">
        <v>5</v>
      </c>
      <c r="F45" s="14" t="str">
        <v>TRX0137</v>
      </c>
      <c r="G45" s="14">
        <v>45629</v>
      </c>
      <c r="H45" s="14" t="str">
        <v>CUST011</v>
      </c>
      <c r="I45" s="14" t="str">
        <v>William White</v>
      </c>
      <c r="J45" s="14" t="str">
        <v>P009</v>
      </c>
      <c r="K45" s="14" t="str">
        <v>Monitor</v>
      </c>
      <c r="L45" s="14" t="str">
        <v>Electronics</v>
      </c>
      <c r="M45" s="14">
        <v>4</v>
      </c>
      <c r="N45" s="14">
        <v>249.99</v>
      </c>
      <c r="O45" s="14" t="str">
        <v>PayPal</v>
      </c>
      <c r="P45" s="14" t="str">
        <v>East</v>
      </c>
      <c r="Q45" s="14" t="str">
        <v>Premium</v>
      </c>
      <c r="R45" s="14">
        <v>45098</v>
      </c>
      <c r="S45" s="14">
        <v>999.96</v>
      </c>
    </row>
    <row r="46" spans="1:19" x14ac:dyDescent="0.3">
      <c r="A46" s="18" t="str">
        <v>CUST050</v>
      </c>
      <c r="B46" s="19" t="str">
        <v>Julie Foster</v>
      </c>
      <c r="C46" s="20">
        <v>239.96</v>
      </c>
      <c r="D46" s="18">
        <v>1</v>
      </c>
      <c r="F46" s="14" t="str">
        <v>TRX0224</v>
      </c>
      <c r="G46" s="14">
        <v>45641</v>
      </c>
      <c r="H46" s="14" t="str">
        <v>CUST031</v>
      </c>
      <c r="I46" s="14" t="str">
        <v>Steven Turner</v>
      </c>
      <c r="J46" s="14" t="str">
        <v>P007</v>
      </c>
      <c r="K46" s="14" t="str">
        <v>Desk</v>
      </c>
      <c r="L46" s="14" t="str">
        <v>Furniture</v>
      </c>
      <c r="M46" s="14">
        <v>2</v>
      </c>
      <c r="N46" s="14">
        <v>299.99</v>
      </c>
      <c r="O46" s="14" t="str">
        <v>Cash</v>
      </c>
      <c r="P46" s="14" t="str">
        <v>East</v>
      </c>
      <c r="Q46" s="14" t="str">
        <v>Premium</v>
      </c>
      <c r="R46" s="14">
        <v>44724</v>
      </c>
      <c r="S46" s="14">
        <v>599.98</v>
      </c>
    </row>
    <row r="47" spans="1:19" x14ac:dyDescent="0.3">
      <c r="A47" s="18" t="str">
        <v>CUST049</v>
      </c>
      <c r="B47" s="19" t="str">
        <v>Raymond Ross</v>
      </c>
      <c r="C47" s="20">
        <v>3669.8500000000004</v>
      </c>
      <c r="D47" s="18">
        <v>4</v>
      </c>
      <c r="F47" s="14" t="str">
        <v>TRX0237</v>
      </c>
      <c r="G47" s="14">
        <v>45663</v>
      </c>
      <c r="H47" s="14" t="str">
        <v>CUST006</v>
      </c>
      <c r="I47" s="14" t="str">
        <v>Lisa Anderson</v>
      </c>
      <c r="J47" s="14" t="str">
        <v>P003</v>
      </c>
      <c r="K47" s="14" t="str">
        <v>Headphones</v>
      </c>
      <c r="L47" s="14" t="str">
        <v>Electronics</v>
      </c>
      <c r="M47" s="14">
        <v>5</v>
      </c>
      <c r="N47" s="14">
        <v>149.99</v>
      </c>
      <c r="O47" s="14" t="str">
        <v>PayPal</v>
      </c>
      <c r="P47" s="14" t="str">
        <v>East</v>
      </c>
      <c r="Q47" s="14" t="str">
        <v>Premium</v>
      </c>
      <c r="R47" s="14">
        <v>44824</v>
      </c>
      <c r="S47" s="14">
        <v>749.95</v>
      </c>
    </row>
    <row r="48" spans="1:19" x14ac:dyDescent="0.3">
      <c r="A48" s="18" t="str">
        <v>CUST007</v>
      </c>
      <c r="B48" s="19" t="str">
        <v>David Martinez</v>
      </c>
      <c r="C48" s="20">
        <v>1809.84</v>
      </c>
      <c r="D48" s="18">
        <v>6</v>
      </c>
      <c r="F48" s="14" t="str">
        <v>TRX0187</v>
      </c>
      <c r="G48" s="14">
        <v>45701</v>
      </c>
      <c r="H48" s="14" t="str">
        <v>CUST036</v>
      </c>
      <c r="I48" s="14" t="str">
        <v>Nancy Collins</v>
      </c>
      <c r="J48" s="14" t="str">
        <v>P004</v>
      </c>
      <c r="K48" s="14" t="str">
        <v>Coffee Maker</v>
      </c>
      <c r="L48" s="14" t="str">
        <v>Appliances</v>
      </c>
      <c r="M48" s="14">
        <v>3</v>
      </c>
      <c r="N48" s="14">
        <v>79.989999999999995</v>
      </c>
      <c r="O48" s="14" t="str">
        <v>Cash</v>
      </c>
      <c r="P48" s="14" t="str">
        <v>East</v>
      </c>
      <c r="Q48" s="14" t="str">
        <v>Premium</v>
      </c>
      <c r="R48" s="14">
        <v>44436</v>
      </c>
      <c r="S48" s="14">
        <v>239.97</v>
      </c>
    </row>
    <row r="49" spans="1:19" x14ac:dyDescent="0.3">
      <c r="A49" s="18" t="str">
        <v>CUST020</v>
      </c>
      <c r="B49" s="19" t="str">
        <v>Margaret Wright</v>
      </c>
      <c r="C49" s="20">
        <v>2099.88</v>
      </c>
      <c r="D49" s="18">
        <v>4</v>
      </c>
      <c r="F49" s="14" t="str">
        <v>TRX0226</v>
      </c>
      <c r="G49" s="14">
        <v>45720</v>
      </c>
      <c r="H49" s="14" t="str">
        <v>CUST039</v>
      </c>
      <c r="I49" s="14" t="str">
        <v>Lawrence Reed</v>
      </c>
      <c r="J49" s="14" t="str">
        <v>P002</v>
      </c>
      <c r="K49" s="14" t="str">
        <v>Smartphone</v>
      </c>
      <c r="L49" s="14" t="str">
        <v>Electronics</v>
      </c>
      <c r="M49" s="14">
        <v>5</v>
      </c>
      <c r="N49" s="14">
        <v>699.99</v>
      </c>
      <c r="O49" s="14" t="str">
        <v>Debit Card</v>
      </c>
      <c r="P49" s="14" t="str">
        <v>East</v>
      </c>
      <c r="Q49" s="14" t="str">
        <v>Premium</v>
      </c>
      <c r="R49" s="14">
        <v>45161</v>
      </c>
      <c r="S49" s="14">
        <v>3499.95</v>
      </c>
    </row>
    <row r="50" spans="1:19" x14ac:dyDescent="0.3">
      <c r="A50" s="18" t="str">
        <v>CUST033</v>
      </c>
      <c r="B50" s="19" t="str">
        <v>Frank Torres</v>
      </c>
      <c r="C50" s="20">
        <v>1479.91</v>
      </c>
      <c r="D50" s="18">
        <v>5</v>
      </c>
      <c r="F50" s="14" t="str">
        <v>TRX0016</v>
      </c>
      <c r="G50" s="14">
        <v>45724</v>
      </c>
      <c r="H50" s="14" t="str">
        <v>CUST035</v>
      </c>
      <c r="I50" s="14" t="str">
        <v>Harry Morgan</v>
      </c>
      <c r="J50" s="14" t="str">
        <v>P001</v>
      </c>
      <c r="K50" s="14" t="str">
        <v>Laptop</v>
      </c>
      <c r="L50" s="14" t="str">
        <v>Electronics</v>
      </c>
      <c r="M50" s="14">
        <v>5</v>
      </c>
      <c r="N50" s="14">
        <v>899.99</v>
      </c>
      <c r="O50" s="14" t="str">
        <v>PayPal</v>
      </c>
      <c r="P50" s="14" t="str">
        <v>East</v>
      </c>
      <c r="Q50" s="14" t="str">
        <v>Premium</v>
      </c>
      <c r="R50" s="14">
        <v>45389</v>
      </c>
      <c r="S50" s="14">
        <v>4499.95</v>
      </c>
    </row>
    <row r="51" spans="1:19" x14ac:dyDescent="0.3">
      <c r="A51" s="18" t="str">
        <v>CUST047</v>
      </c>
      <c r="B51" s="19" t="str">
        <v>Gerald Murphy</v>
      </c>
      <c r="C51" s="20">
        <v>6379.87</v>
      </c>
      <c r="D51" s="18">
        <v>4</v>
      </c>
    </row>
    <row r="52" spans="1:19" x14ac:dyDescent="0.3">
      <c r="A52" s="18" t="str">
        <v>CUST016</v>
      </c>
      <c r="B52" s="19" t="str">
        <v>Elizabeth Hall</v>
      </c>
      <c r="C52" s="20">
        <v>3649.8599999999997</v>
      </c>
      <c r="D52" s="18">
        <v>4</v>
      </c>
    </row>
    <row r="53" spans="1:19" x14ac:dyDescent="0.3">
      <c r="A53" s="18" t="str">
        <v>CUST039</v>
      </c>
      <c r="B53" s="19" t="str">
        <v>Lawrence Reed</v>
      </c>
      <c r="C53" s="20">
        <v>6989.7699999999986</v>
      </c>
      <c r="D53" s="18">
        <v>8</v>
      </c>
    </row>
    <row r="54" spans="1:19" x14ac:dyDescent="0.3">
      <c r="A54" s="18" t="str">
        <v>CUST034</v>
      </c>
      <c r="B54" s="19" t="str">
        <v>Carol Evans</v>
      </c>
      <c r="C54" s="20">
        <v>1149.93</v>
      </c>
      <c r="D54" s="18">
        <v>3</v>
      </c>
    </row>
    <row r="55" spans="1:19" x14ac:dyDescent="0.3">
      <c r="A55" s="18" t="str">
        <v>CUST032</v>
      </c>
      <c r="B55" s="19" t="str">
        <v>Sandra Phillips</v>
      </c>
      <c r="C55" s="20">
        <v>6349.83</v>
      </c>
      <c r="D55" s="18">
        <v>5</v>
      </c>
    </row>
    <row r="56" spans="1:19" x14ac:dyDescent="0.3">
      <c r="A56" s="18" t="str">
        <v>CUST042</v>
      </c>
      <c r="B56" s="19" t="str">
        <v>Ruth Brooks</v>
      </c>
      <c r="C56" s="20">
        <v>1749.92</v>
      </c>
      <c r="D56" s="18">
        <v>3</v>
      </c>
    </row>
    <row r="57" spans="1:19" x14ac:dyDescent="0.3">
      <c r="A57" s="18" t="str">
        <v>CUST011</v>
      </c>
      <c r="B57" s="19" t="str">
        <v>William White</v>
      </c>
      <c r="C57" s="20">
        <v>4749.91</v>
      </c>
      <c r="D57" s="18">
        <v>3</v>
      </c>
    </row>
    <row r="58" spans="1:19" x14ac:dyDescent="0.3">
      <c r="A58" s="18" t="str">
        <v>CUST015</v>
      </c>
      <c r="B58" s="19" t="str">
        <v>Richard Lee</v>
      </c>
      <c r="C58" s="20">
        <v>739.93000000000006</v>
      </c>
      <c r="D58" s="18">
        <v>3</v>
      </c>
    </row>
    <row r="59" spans="1:19" x14ac:dyDescent="0.3">
      <c r="A59" s="18" t="str">
        <v>CUST045</v>
      </c>
      <c r="B59" s="19" t="str">
        <v>Douglas Watson</v>
      </c>
      <c r="C59" s="20">
        <v>4829.8899999999994</v>
      </c>
      <c r="D59" s="18">
        <v>4</v>
      </c>
    </row>
    <row r="60" spans="1:19" x14ac:dyDescent="0.3">
      <c r="A60" s="18" t="str">
        <v>CUST005</v>
      </c>
      <c r="B60" s="19" t="str">
        <v>James Johnson</v>
      </c>
      <c r="C60" s="20">
        <v>179.97</v>
      </c>
      <c r="D60" s="18">
        <v>1</v>
      </c>
    </row>
    <row r="61" spans="1:19" x14ac:dyDescent="0.3">
      <c r="A61" s="18" t="str">
        <v>CUST037</v>
      </c>
      <c r="B61" s="19" t="str">
        <v>Arthur Edwards</v>
      </c>
      <c r="C61" s="20">
        <v>1559.94</v>
      </c>
      <c r="D61" s="18">
        <v>3</v>
      </c>
    </row>
    <row r="62" spans="1:19" x14ac:dyDescent="0.3">
      <c r="A62" s="18" t="str">
        <v>CUST001</v>
      </c>
      <c r="B62" s="19" t="str">
        <v>John Smith</v>
      </c>
      <c r="C62" s="20">
        <v>599.96</v>
      </c>
      <c r="D62" s="18">
        <v>1</v>
      </c>
    </row>
  </sheetData>
  <mergeCells count="14">
    <mergeCell ref="P3:R3"/>
    <mergeCell ref="A1:S1"/>
    <mergeCell ref="F30:S30"/>
    <mergeCell ref="K11:L11"/>
    <mergeCell ref="K19:P19"/>
    <mergeCell ref="A3:B3"/>
    <mergeCell ref="A11:D11"/>
    <mergeCell ref="D3:G3"/>
    <mergeCell ref="F11:I11"/>
    <mergeCell ref="I3:K3"/>
    <mergeCell ref="M3:N3"/>
    <mergeCell ref="F24:G24"/>
    <mergeCell ref="P9:R9"/>
    <mergeCell ref="K12:L12"/>
  </mergeCells>
  <conditionalFormatting sqref="C13:C62">
    <cfRule type="dataBar" priority="6">
      <dataBar>
        <cfvo type="min"/>
        <cfvo type="max"/>
        <color rgb="FFD6007B"/>
      </dataBar>
      <extLst>
        <ext xmlns:x14="http://schemas.microsoft.com/office/spreadsheetml/2009/9/main" uri="{B025F937-C7B1-47D3-B67F-A62EFF666E3E}">
          <x14:id>{BCA7EAB2-0966-4BAE-AB50-F49D3CFBCA18}</x14:id>
        </ext>
      </extLst>
    </cfRule>
  </conditionalFormatting>
  <conditionalFormatting sqref="G5:G9">
    <cfRule type="colorScale" priority="5">
      <colorScale>
        <cfvo type="min"/>
        <cfvo type="percentile" val="50"/>
        <cfvo type="max"/>
        <color rgb="FFF8696B"/>
        <color rgb="FFFCFCFF"/>
        <color rgb="FF5A8AC6"/>
      </colorScale>
    </cfRule>
  </conditionalFormatting>
  <conditionalFormatting sqref="G13:G22">
    <cfRule type="dataBar" priority="2">
      <dataBar>
        <cfvo type="min"/>
        <cfvo type="max"/>
        <color rgb="FF63C384"/>
      </dataBar>
      <extLst>
        <ext xmlns:x14="http://schemas.microsoft.com/office/spreadsheetml/2009/9/main" uri="{B025F937-C7B1-47D3-B67F-A62EFF666E3E}">
          <x14:id>{BF0661BA-09EE-4BAC-8DED-EAD19DD880E9}</x14:id>
        </ext>
      </extLst>
    </cfRule>
  </conditionalFormatting>
  <conditionalFormatting sqref="G26:G28">
    <cfRule type="dataBar" priority="1">
      <dataBar>
        <cfvo type="min"/>
        <cfvo type="max"/>
        <color rgb="FFFFB628"/>
      </dataBar>
      <extLst>
        <ext xmlns:x14="http://schemas.microsoft.com/office/spreadsheetml/2009/9/main" uri="{B025F937-C7B1-47D3-B67F-A62EFF666E3E}">
          <x14:id>{97409BD1-66FF-462F-A14C-F4A7E35C0CB2}</x14:id>
        </ext>
      </extLst>
    </cfRule>
  </conditionalFormatting>
  <conditionalFormatting sqref="H13:H22">
    <cfRule type="dataBar" priority="3">
      <dataBar>
        <cfvo type="min"/>
        <cfvo type="max"/>
        <color rgb="FF008AEF"/>
      </dataBar>
      <extLst>
        <ext xmlns:x14="http://schemas.microsoft.com/office/spreadsheetml/2009/9/main" uri="{B025F937-C7B1-47D3-B67F-A62EFF666E3E}">
          <x14:id>{B993366E-0926-48FA-AD49-3026DAAE4D63}</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BCA7EAB2-0966-4BAE-AB50-F49D3CFBCA18}">
            <x14:dataBar minLength="0" maxLength="100" border="1" negativeBarBorderColorSameAsPositive="0">
              <x14:cfvo type="autoMin"/>
              <x14:cfvo type="autoMax"/>
              <x14:borderColor rgb="FFD6007B"/>
              <x14:negativeFillColor rgb="FFFF0000"/>
              <x14:negativeBorderColor rgb="FFFF0000"/>
              <x14:axisColor rgb="FF000000"/>
            </x14:dataBar>
          </x14:cfRule>
          <xm:sqref>C13:C62</xm:sqref>
        </x14:conditionalFormatting>
        <x14:conditionalFormatting xmlns:xm="http://schemas.microsoft.com/office/excel/2006/main">
          <x14:cfRule type="containsText" priority="4" operator="containsText" id="{87661B36-FCB0-4C13-A7F1-50AA0B8D8BA5}">
            <xm:f>NOT(ISERROR(SEARCH($G$5,G5)))</xm:f>
            <xm:f>$G$5</xm:f>
            <x14:dxf>
              <font>
                <color rgb="FF9C0006"/>
              </font>
              <fill>
                <patternFill>
                  <bgColor rgb="FFFFC7CE"/>
                </patternFill>
              </fill>
            </x14:dxf>
          </x14:cfRule>
          <xm:sqref>G5:G9</xm:sqref>
        </x14:conditionalFormatting>
        <x14:conditionalFormatting xmlns:xm="http://schemas.microsoft.com/office/excel/2006/main">
          <x14:cfRule type="dataBar" id="{BF0661BA-09EE-4BAC-8DED-EAD19DD880E9}">
            <x14:dataBar minLength="0" maxLength="100" border="1" negativeBarBorderColorSameAsPositive="0">
              <x14:cfvo type="autoMin"/>
              <x14:cfvo type="autoMax"/>
              <x14:borderColor rgb="FF63C384"/>
              <x14:negativeFillColor rgb="FFFF0000"/>
              <x14:negativeBorderColor rgb="FFFF0000"/>
              <x14:axisColor rgb="FF000000"/>
            </x14:dataBar>
          </x14:cfRule>
          <xm:sqref>G13:G22</xm:sqref>
        </x14:conditionalFormatting>
        <x14:conditionalFormatting xmlns:xm="http://schemas.microsoft.com/office/excel/2006/main">
          <x14:cfRule type="dataBar" id="{97409BD1-66FF-462F-A14C-F4A7E35C0CB2}">
            <x14:dataBar minLength="0" maxLength="100" border="1" negativeBarBorderColorSameAsPositive="0">
              <x14:cfvo type="autoMin"/>
              <x14:cfvo type="autoMax"/>
              <x14:borderColor rgb="FFFFB628"/>
              <x14:negativeFillColor rgb="FFFF0000"/>
              <x14:negativeBorderColor rgb="FFFF0000"/>
              <x14:axisColor rgb="FF000000"/>
            </x14:dataBar>
          </x14:cfRule>
          <xm:sqref>G26:G28</xm:sqref>
        </x14:conditionalFormatting>
        <x14:conditionalFormatting xmlns:xm="http://schemas.microsoft.com/office/excel/2006/main">
          <x14:cfRule type="dataBar" id="{B993366E-0926-48FA-AD49-3026DAAE4D63}">
            <x14:dataBar minLength="0" maxLength="100" border="1" negativeBarBorderColorSameAsPositive="0">
              <x14:cfvo type="autoMin"/>
              <x14:cfvo type="autoMax"/>
              <x14:borderColor rgb="FF008AEF"/>
              <x14:negativeFillColor rgb="FFFF0000"/>
              <x14:negativeBorderColor rgb="FFFF0000"/>
              <x14:axisColor rgb="FF000000"/>
            </x14:dataBar>
          </x14:cfRule>
          <xm:sqref>H13:H22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CED1-ED19-4354-82BD-9C10382177C4}">
  <dimension ref="A1:Y17"/>
  <sheetViews>
    <sheetView zoomScale="70" zoomScaleNormal="70" workbookViewId="0">
      <selection activeCell="X29" sqref="X29"/>
    </sheetView>
  </sheetViews>
  <sheetFormatPr defaultRowHeight="14.4" x14ac:dyDescent="0.3"/>
  <cols>
    <col min="1" max="1" width="13.5546875" customWidth="1"/>
    <col min="2" max="2" width="19.77734375" bestFit="1" customWidth="1"/>
    <col min="3" max="3" width="4.6640625" customWidth="1"/>
    <col min="4" max="4" width="22.77734375" bestFit="1" customWidth="1"/>
    <col min="5" max="5" width="21.88671875" bestFit="1" customWidth="1"/>
    <col min="6" max="6" width="20.21875" bestFit="1" customWidth="1"/>
    <col min="7" max="7" width="4.33203125" customWidth="1"/>
    <col min="8" max="8" width="20" bestFit="1" customWidth="1"/>
    <col min="9" max="9" width="15.33203125" bestFit="1" customWidth="1"/>
    <col min="10" max="10" width="20.21875" bestFit="1" customWidth="1"/>
    <col min="11" max="11" width="7.21875" bestFit="1" customWidth="1"/>
    <col min="12" max="41" width="8.33203125" bestFit="1" customWidth="1"/>
    <col min="42" max="52" width="9.88671875" bestFit="1" customWidth="1"/>
    <col min="53" max="53" width="10.77734375" bestFit="1" customWidth="1"/>
  </cols>
  <sheetData>
    <row r="1" spans="1:25" ht="39" customHeight="1" x14ac:dyDescent="0.3">
      <c r="A1" s="57" t="s">
        <v>475</v>
      </c>
      <c r="B1" s="57"/>
      <c r="C1" s="57"/>
      <c r="D1" s="57"/>
      <c r="E1" s="57"/>
      <c r="F1" s="57"/>
      <c r="G1" s="57"/>
      <c r="H1" s="57"/>
      <c r="I1" s="57"/>
      <c r="J1" s="57"/>
      <c r="K1" s="57"/>
      <c r="L1" s="57"/>
      <c r="M1" s="57"/>
      <c r="N1" s="57"/>
      <c r="O1" s="57"/>
      <c r="P1" s="57"/>
      <c r="Q1" s="57"/>
      <c r="R1" s="57"/>
      <c r="S1" s="57"/>
    </row>
    <row r="3" spans="1:25" ht="23.4" customHeight="1" x14ac:dyDescent="0.3">
      <c r="A3" s="56" t="s">
        <v>434</v>
      </c>
      <c r="B3" s="56"/>
      <c r="D3" s="56" t="s">
        <v>435</v>
      </c>
      <c r="E3" s="56"/>
      <c r="F3" s="56"/>
      <c r="H3" s="56" t="s">
        <v>479</v>
      </c>
      <c r="I3" s="56"/>
      <c r="J3" s="56"/>
    </row>
    <row r="4" spans="1:25" ht="18.600000000000001" customHeight="1" x14ac:dyDescent="0.3">
      <c r="A4" s="54" t="s">
        <v>10</v>
      </c>
      <c r="B4" s="54" t="s">
        <v>476</v>
      </c>
      <c r="D4" s="54" t="s">
        <v>474</v>
      </c>
      <c r="E4" s="54" t="s">
        <v>476</v>
      </c>
      <c r="F4" s="54" t="s">
        <v>481</v>
      </c>
      <c r="H4" s="54" t="s">
        <v>480</v>
      </c>
      <c r="I4" s="54" t="s">
        <v>478</v>
      </c>
      <c r="J4" s="54" t="s">
        <v>476</v>
      </c>
    </row>
    <row r="5" spans="1:25" x14ac:dyDescent="0.3">
      <c r="A5" s="14" t="s">
        <v>21</v>
      </c>
      <c r="B5" s="13">
        <v>41288.340000000018</v>
      </c>
      <c r="D5" s="53" t="s">
        <v>22</v>
      </c>
      <c r="E5" s="13">
        <v>62177.810000000019</v>
      </c>
      <c r="F5" s="73">
        <v>74</v>
      </c>
      <c r="H5" s="53" t="s">
        <v>32</v>
      </c>
      <c r="I5" s="73">
        <v>87</v>
      </c>
      <c r="J5" s="13">
        <v>5219.1299999999974</v>
      </c>
    </row>
    <row r="6" spans="1:25" x14ac:dyDescent="0.3">
      <c r="A6" s="14" t="s">
        <v>63</v>
      </c>
      <c r="B6" s="13">
        <v>59288.389999999992</v>
      </c>
      <c r="D6" s="53" t="s">
        <v>27</v>
      </c>
      <c r="E6" s="13">
        <v>84657.12000000001</v>
      </c>
      <c r="F6" s="73">
        <v>95</v>
      </c>
      <c r="H6" s="53" t="s">
        <v>45</v>
      </c>
      <c r="I6" s="73">
        <v>102</v>
      </c>
      <c r="J6" s="13">
        <v>15298.979999999994</v>
      </c>
    </row>
    <row r="7" spans="1:25" x14ac:dyDescent="0.3">
      <c r="A7" s="14" t="s">
        <v>40</v>
      </c>
      <c r="B7" s="13">
        <v>50808.310000000012</v>
      </c>
      <c r="D7" s="53" t="s">
        <v>36</v>
      </c>
      <c r="E7" s="13">
        <v>82357.540000000037</v>
      </c>
      <c r="F7" s="73">
        <v>81</v>
      </c>
      <c r="H7" s="53" t="s">
        <v>115</v>
      </c>
      <c r="I7" s="73">
        <v>39</v>
      </c>
      <c r="J7" s="13">
        <v>3119.6099999999992</v>
      </c>
    </row>
    <row r="8" spans="1:25" x14ac:dyDescent="0.3">
      <c r="A8" s="14" t="s">
        <v>35</v>
      </c>
      <c r="B8" s="13">
        <v>36398.750000000007</v>
      </c>
      <c r="D8" s="54" t="s">
        <v>477</v>
      </c>
      <c r="E8" s="75">
        <v>229192.47000000015</v>
      </c>
      <c r="F8" s="75">
        <v>250</v>
      </c>
      <c r="H8" s="53" t="s">
        <v>106</v>
      </c>
      <c r="I8" s="73">
        <v>78</v>
      </c>
      <c r="J8" s="13">
        <v>23399.22</v>
      </c>
    </row>
    <row r="9" spans="1:25" x14ac:dyDescent="0.3">
      <c r="A9" s="14" t="s">
        <v>50</v>
      </c>
      <c r="B9" s="13">
        <v>41408.680000000015</v>
      </c>
      <c r="H9" s="53" t="s">
        <v>53</v>
      </c>
      <c r="I9" s="73">
        <v>47</v>
      </c>
      <c r="J9" s="13">
        <v>7049.5299999999988</v>
      </c>
    </row>
    <row r="10" spans="1:25" x14ac:dyDescent="0.3">
      <c r="A10" s="54" t="s">
        <v>477</v>
      </c>
      <c r="B10" s="55">
        <v>229192.47000000006</v>
      </c>
      <c r="H10" s="53" t="s">
        <v>118</v>
      </c>
      <c r="I10" s="73">
        <v>89</v>
      </c>
      <c r="J10" s="13">
        <v>8009.1099999999969</v>
      </c>
    </row>
    <row r="11" spans="1:25" ht="15.6" x14ac:dyDescent="0.3">
      <c r="D11" s="56" t="s">
        <v>482</v>
      </c>
      <c r="E11" s="56"/>
      <c r="F11" s="56"/>
      <c r="H11" s="53" t="s">
        <v>62</v>
      </c>
      <c r="I11" s="73">
        <v>75</v>
      </c>
      <c r="J11" s="13">
        <v>67499.25</v>
      </c>
    </row>
    <row r="12" spans="1:25" x14ac:dyDescent="0.3">
      <c r="D12" s="54" t="s">
        <v>483</v>
      </c>
      <c r="E12" s="54" t="s">
        <v>481</v>
      </c>
      <c r="F12" s="54" t="s">
        <v>476</v>
      </c>
      <c r="H12" s="53" t="s">
        <v>18</v>
      </c>
      <c r="I12" s="73">
        <v>88</v>
      </c>
      <c r="J12" s="13">
        <v>21999.119999999999</v>
      </c>
    </row>
    <row r="13" spans="1:25" x14ac:dyDescent="0.3">
      <c r="D13" s="53" t="s">
        <v>20</v>
      </c>
      <c r="E13" s="73">
        <v>76</v>
      </c>
      <c r="F13" s="13">
        <v>57427.790000000023</v>
      </c>
      <c r="H13" s="53" t="s">
        <v>127</v>
      </c>
      <c r="I13" s="73">
        <v>52</v>
      </c>
      <c r="J13" s="13">
        <v>10399.479999999998</v>
      </c>
      <c r="Y13" s="76"/>
    </row>
    <row r="14" spans="1:25" x14ac:dyDescent="0.3">
      <c r="D14" s="53" t="s">
        <v>26</v>
      </c>
      <c r="E14" s="73">
        <v>68</v>
      </c>
      <c r="F14" s="13">
        <v>61447.960000000014</v>
      </c>
      <c r="H14" s="53" t="s">
        <v>81</v>
      </c>
      <c r="I14" s="73">
        <v>96</v>
      </c>
      <c r="J14" s="13">
        <v>67199.039999999994</v>
      </c>
    </row>
    <row r="15" spans="1:25" x14ac:dyDescent="0.3">
      <c r="D15" s="53" t="s">
        <v>57</v>
      </c>
      <c r="E15" s="73">
        <v>54</v>
      </c>
      <c r="F15" s="13">
        <v>52118.310000000005</v>
      </c>
      <c r="H15" s="54" t="s">
        <v>477</v>
      </c>
      <c r="I15" s="74">
        <v>753</v>
      </c>
      <c r="J15" s="55">
        <v>229192.46999999997</v>
      </c>
    </row>
    <row r="16" spans="1:25" x14ac:dyDescent="0.3">
      <c r="D16" s="53" t="s">
        <v>34</v>
      </c>
      <c r="E16" s="73">
        <v>52</v>
      </c>
      <c r="F16" s="13">
        <v>58198.409999999996</v>
      </c>
    </row>
    <row r="17" spans="4:6" x14ac:dyDescent="0.3">
      <c r="D17" s="54" t="s">
        <v>477</v>
      </c>
      <c r="E17" s="74">
        <v>250</v>
      </c>
      <c r="F17" s="55">
        <v>229192.47000000026</v>
      </c>
    </row>
  </sheetData>
  <mergeCells count="5">
    <mergeCell ref="D3:F3"/>
    <mergeCell ref="D11:F11"/>
    <mergeCell ref="A3:B3"/>
    <mergeCell ref="H3:J3"/>
    <mergeCell ref="A1:S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1DBC-2B16-45F2-844A-A7FE882D6D19}">
  <dimension ref="A1:BH18"/>
  <sheetViews>
    <sheetView showGridLines="0" tabSelected="1" zoomScale="68" zoomScaleNormal="68" workbookViewId="0">
      <selection activeCell="Z12" sqref="Z12"/>
    </sheetView>
  </sheetViews>
  <sheetFormatPr defaultRowHeight="14.4" x14ac:dyDescent="0.3"/>
  <cols>
    <col min="5" max="5" width="2.109375" customWidth="1"/>
    <col min="10" max="10" width="3.44140625" customWidth="1"/>
    <col min="15" max="15" width="2.6640625" customWidth="1"/>
    <col min="16" max="16" width="5" customWidth="1"/>
    <col min="20" max="20" width="2.6640625" customWidth="1"/>
  </cols>
  <sheetData>
    <row r="1" spans="1:60" x14ac:dyDescent="0.3">
      <c r="A1" s="78" t="s">
        <v>484</v>
      </c>
      <c r="B1" s="77"/>
      <c r="C1" s="77"/>
      <c r="D1" s="77"/>
      <c r="E1" s="77"/>
      <c r="F1" s="77"/>
      <c r="G1" s="77"/>
      <c r="H1" s="77"/>
      <c r="I1" s="77"/>
      <c r="J1" s="77"/>
      <c r="K1" s="77"/>
      <c r="L1" s="77"/>
      <c r="M1" s="77"/>
      <c r="N1" s="77"/>
      <c r="O1" s="77"/>
      <c r="P1" s="77"/>
      <c r="Q1" s="77"/>
      <c r="R1" s="77"/>
      <c r="S1" s="77"/>
      <c r="T1" s="77"/>
      <c r="U1" s="77"/>
      <c r="V1" s="77"/>
      <c r="W1" s="77"/>
      <c r="X1" s="77"/>
      <c r="AK1" s="90"/>
      <c r="AL1" s="91"/>
      <c r="AM1" s="91"/>
      <c r="AN1" s="91"/>
      <c r="AO1" s="91"/>
      <c r="AP1" s="91"/>
      <c r="AQ1" s="91"/>
      <c r="AR1" s="91"/>
      <c r="AS1" s="91"/>
      <c r="AT1" s="91"/>
      <c r="AU1" s="91"/>
      <c r="AV1" s="91"/>
      <c r="AW1" s="91"/>
      <c r="AX1" s="91"/>
      <c r="AY1" s="91"/>
      <c r="AZ1" s="91"/>
      <c r="BA1" s="91"/>
      <c r="BB1" s="91"/>
      <c r="BC1" s="91"/>
      <c r="BD1" s="91"/>
      <c r="BE1" s="91"/>
      <c r="BF1" s="91"/>
      <c r="BG1" s="91"/>
      <c r="BH1" s="91"/>
    </row>
    <row r="2" spans="1:60" ht="43.2" customHeight="1" x14ac:dyDescent="0.3">
      <c r="A2" s="77"/>
      <c r="B2" s="77"/>
      <c r="C2" s="77"/>
      <c r="D2" s="77"/>
      <c r="E2" s="77"/>
      <c r="F2" s="77"/>
      <c r="G2" s="77"/>
      <c r="H2" s="77"/>
      <c r="I2" s="77"/>
      <c r="J2" s="77"/>
      <c r="K2" s="77"/>
      <c r="L2" s="77"/>
      <c r="M2" s="77"/>
      <c r="N2" s="77"/>
      <c r="O2" s="77"/>
      <c r="P2" s="77"/>
      <c r="Q2" s="77"/>
      <c r="R2" s="77"/>
      <c r="S2" s="77"/>
      <c r="T2" s="77"/>
      <c r="U2" s="77"/>
      <c r="V2" s="77"/>
      <c r="W2" s="77"/>
      <c r="X2" s="77"/>
    </row>
    <row r="4" spans="1:60" ht="15" customHeight="1" x14ac:dyDescent="0.3">
      <c r="A4" s="79"/>
      <c r="B4" s="79"/>
      <c r="C4" s="79"/>
      <c r="D4" s="79"/>
      <c r="E4" s="79"/>
      <c r="F4" s="79"/>
      <c r="G4" s="79"/>
      <c r="H4" s="79"/>
      <c r="I4" s="79"/>
      <c r="J4" s="79"/>
      <c r="K4" s="79"/>
      <c r="L4" s="79"/>
      <c r="M4" s="79"/>
      <c r="N4" s="79"/>
      <c r="O4" s="79"/>
      <c r="P4" s="79"/>
      <c r="Q4" s="79"/>
      <c r="R4" s="79"/>
      <c r="S4" s="79"/>
      <c r="T4" s="79"/>
      <c r="U4" s="79"/>
      <c r="V4" s="79"/>
      <c r="W4" s="79"/>
      <c r="X4" s="79"/>
    </row>
    <row r="5" spans="1:60" ht="6.6" customHeight="1" x14ac:dyDescent="0.3">
      <c r="A5" s="79"/>
      <c r="B5" s="79"/>
      <c r="C5" s="79"/>
      <c r="D5" s="79"/>
      <c r="E5" s="79"/>
      <c r="F5" s="79"/>
      <c r="G5" s="79"/>
      <c r="H5" s="79"/>
      <c r="I5" s="79"/>
      <c r="J5" s="79"/>
      <c r="K5" s="79"/>
      <c r="L5" s="79"/>
      <c r="M5" s="79"/>
      <c r="N5" s="79"/>
      <c r="O5" s="79"/>
      <c r="P5" s="79"/>
      <c r="Q5" s="79"/>
      <c r="R5" s="79"/>
      <c r="S5" s="79"/>
      <c r="T5" s="79"/>
      <c r="U5" s="79"/>
      <c r="V5" s="79"/>
      <c r="W5" s="79"/>
      <c r="X5" s="79"/>
    </row>
    <row r="6" spans="1:60" ht="28.2" customHeight="1" x14ac:dyDescent="0.3">
      <c r="A6" s="81" t="s">
        <v>485</v>
      </c>
      <c r="B6" s="82"/>
      <c r="C6" s="82"/>
      <c r="D6" s="83"/>
      <c r="E6" s="79"/>
      <c r="F6" s="81" t="s">
        <v>486</v>
      </c>
      <c r="G6" s="82"/>
      <c r="H6" s="82"/>
      <c r="I6" s="83"/>
      <c r="J6" s="79"/>
      <c r="K6" s="81" t="s">
        <v>487</v>
      </c>
      <c r="L6" s="82"/>
      <c r="M6" s="82"/>
      <c r="N6" s="83"/>
      <c r="O6" s="79"/>
      <c r="P6" s="81" t="s">
        <v>488</v>
      </c>
      <c r="Q6" s="82"/>
      <c r="R6" s="82"/>
      <c r="S6" s="83"/>
      <c r="T6" s="79"/>
      <c r="U6" s="81" t="s">
        <v>489</v>
      </c>
      <c r="V6" s="82"/>
      <c r="W6" s="82"/>
      <c r="X6" s="83"/>
    </row>
    <row r="7" spans="1:60" ht="17.399999999999999" customHeight="1" x14ac:dyDescent="0.3">
      <c r="A7" s="84">
        <f>SUM('Raw Data'!N5:N254)</f>
        <v>229192.47000000032</v>
      </c>
      <c r="B7" s="85"/>
      <c r="C7" s="85"/>
      <c r="D7" s="86"/>
      <c r="F7" s="87">
        <f>COUNTA('Raw Data'!A5:A254)</f>
        <v>250</v>
      </c>
      <c r="G7" s="88"/>
      <c r="H7" s="88"/>
      <c r="I7" s="89"/>
      <c r="K7" s="87">
        <f>SUM('Raw Data'!H5:H254)</f>
        <v>753</v>
      </c>
      <c r="L7" s="88"/>
      <c r="M7" s="88"/>
      <c r="N7" s="89"/>
      <c r="P7" s="87">
        <f>COUNTA(_xlfn.UNIQUE('Raw Data'!C5:C254))</f>
        <v>50</v>
      </c>
      <c r="Q7" s="88"/>
      <c r="R7" s="88"/>
      <c r="S7" s="89"/>
      <c r="U7" s="84">
        <f>AVERAGE('Raw Data'!N5:N254)</f>
        <v>916.76988000000131</v>
      </c>
      <c r="V7" s="85"/>
      <c r="W7" s="85"/>
      <c r="X7" s="86"/>
    </row>
    <row r="8" spans="1:60" x14ac:dyDescent="0.3">
      <c r="A8" s="80"/>
      <c r="B8" s="80"/>
      <c r="C8" s="80"/>
      <c r="D8" s="80"/>
    </row>
    <row r="9" spans="1:60" ht="18" customHeight="1" x14ac:dyDescent="0.3">
      <c r="A9" s="92" t="s">
        <v>490</v>
      </c>
      <c r="B9" s="92"/>
      <c r="C9" s="92"/>
      <c r="D9" s="92"/>
      <c r="E9" s="92"/>
      <c r="F9" s="92"/>
      <c r="G9" s="92"/>
      <c r="H9" s="92"/>
      <c r="I9" s="92"/>
      <c r="J9" s="92"/>
      <c r="K9" s="92"/>
      <c r="L9" s="92"/>
      <c r="M9" s="92"/>
      <c r="N9" s="92"/>
      <c r="P9" s="92" t="s">
        <v>491</v>
      </c>
      <c r="Q9" s="92"/>
      <c r="R9" s="92"/>
      <c r="S9" s="92"/>
      <c r="T9" s="92"/>
      <c r="U9" s="92"/>
      <c r="V9" s="92"/>
      <c r="W9" s="92"/>
      <c r="X9" s="92"/>
    </row>
    <row r="10" spans="1:60" x14ac:dyDescent="0.3">
      <c r="P10" s="79"/>
      <c r="Q10" s="79"/>
      <c r="R10" s="79"/>
      <c r="S10" s="79"/>
      <c r="T10" s="79"/>
      <c r="U10" s="79"/>
      <c r="V10" s="79"/>
      <c r="W10" s="79"/>
      <c r="X10" s="79"/>
    </row>
    <row r="11" spans="1:60" x14ac:dyDescent="0.3">
      <c r="P11" s="79"/>
      <c r="Q11" s="79"/>
      <c r="R11" s="79"/>
      <c r="S11" s="79"/>
      <c r="T11" s="79"/>
      <c r="U11" s="79"/>
      <c r="V11" s="79"/>
      <c r="W11" s="79"/>
      <c r="X11" s="79"/>
    </row>
    <row r="12" spans="1:60" x14ac:dyDescent="0.3">
      <c r="P12" s="79"/>
      <c r="Q12" s="79"/>
      <c r="R12" s="79"/>
      <c r="S12" s="79"/>
      <c r="T12" s="79"/>
      <c r="U12" s="79"/>
      <c r="V12" s="79"/>
      <c r="W12" s="79"/>
      <c r="X12" s="79"/>
    </row>
    <row r="13" spans="1:60" x14ac:dyDescent="0.3">
      <c r="P13" s="79"/>
      <c r="Q13" s="79"/>
      <c r="R13" s="79"/>
      <c r="S13" s="79"/>
      <c r="T13" s="79"/>
      <c r="U13" s="79"/>
      <c r="V13" s="79"/>
      <c r="W13" s="79"/>
      <c r="X13" s="79"/>
    </row>
    <row r="14" spans="1:60" x14ac:dyDescent="0.3">
      <c r="P14" s="79"/>
      <c r="Q14" s="79"/>
      <c r="R14" s="79"/>
      <c r="S14" s="79"/>
      <c r="T14" s="79"/>
      <c r="U14" s="79"/>
      <c r="V14" s="79"/>
      <c r="W14" s="79"/>
      <c r="X14" s="79"/>
    </row>
    <row r="15" spans="1:60" x14ac:dyDescent="0.3">
      <c r="P15" s="79"/>
      <c r="Q15" s="79"/>
      <c r="R15" s="79"/>
      <c r="S15" s="79"/>
      <c r="T15" s="79"/>
      <c r="U15" s="79"/>
      <c r="V15" s="79"/>
      <c r="W15" s="79"/>
      <c r="X15" s="79"/>
    </row>
    <row r="16" spans="1:60" x14ac:dyDescent="0.3">
      <c r="P16" s="79"/>
      <c r="Q16" s="79"/>
      <c r="R16" s="79"/>
      <c r="S16" s="79"/>
      <c r="T16" s="79"/>
      <c r="U16" s="79"/>
      <c r="V16" s="79"/>
      <c r="W16" s="79"/>
      <c r="X16" s="79"/>
    </row>
    <row r="17" spans="16:24" x14ac:dyDescent="0.3">
      <c r="P17" s="79"/>
      <c r="Q17" s="79"/>
      <c r="R17" s="79"/>
      <c r="S17" s="79"/>
      <c r="T17" s="79"/>
      <c r="U17" s="79"/>
      <c r="V17" s="79"/>
      <c r="W17" s="79"/>
      <c r="X17" s="79"/>
    </row>
    <row r="18" spans="16:24" x14ac:dyDescent="0.3">
      <c r="P18" s="79"/>
      <c r="Q18" s="79"/>
      <c r="R18" s="79"/>
      <c r="S18" s="79"/>
      <c r="T18" s="79"/>
      <c r="U18" s="79"/>
      <c r="V18" s="79"/>
      <c r="W18" s="79"/>
      <c r="X18" s="79"/>
    </row>
  </sheetData>
  <mergeCells count="14">
    <mergeCell ref="P7:S7"/>
    <mergeCell ref="U6:X6"/>
    <mergeCell ref="U7:X7"/>
    <mergeCell ref="AK1:BH1"/>
    <mergeCell ref="A9:N9"/>
    <mergeCell ref="P9:X9"/>
    <mergeCell ref="A1:X2"/>
    <mergeCell ref="A6:D6"/>
    <mergeCell ref="A7:D7"/>
    <mergeCell ref="F6:I6"/>
    <mergeCell ref="F7:I7"/>
    <mergeCell ref="K6:N6"/>
    <mergeCell ref="K7:N7"/>
    <mergeCell ref="P6: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Raw Data</vt:lpstr>
      <vt:lpstr>Analysis</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Iqra Rangrej</cp:lastModifiedBy>
  <dcterms:modified xsi:type="dcterms:W3CDTF">2026-10-07T07:51:08Z</dcterms:modified>
</cp:coreProperties>
</file>